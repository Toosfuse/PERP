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34BBF6A-9A3A-4888-ABD0-45D821820880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base" sheetId="2" state="hidden" r:id="rId1"/>
    <sheet name="SEFARESH TOLID" sheetId="5" r:id="rId2"/>
  </sheets>
  <definedNames>
    <definedName name="_xlnm._FilterDatabase" localSheetId="0" hidden="1">base!$A$1:$H$47</definedName>
    <definedName name="_Hlk327020827" localSheetId="1">'SEFARESH TOLID'!$B$41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5" l="1"/>
  <c r="E46" i="5"/>
  <c r="E44" i="5"/>
  <c r="E47" i="5"/>
  <c r="E45" i="5"/>
  <c r="E43" i="5"/>
  <c r="E41" i="5"/>
  <c r="D37" i="5"/>
  <c r="D45" i="5"/>
  <c r="D39" i="5"/>
  <c r="D47" i="5"/>
  <c r="D41" i="5"/>
  <c r="D43" i="5"/>
  <c r="D44" i="5"/>
  <c r="D42" i="5"/>
  <c r="D46" i="5"/>
  <c r="D36" i="5"/>
  <c r="D40" i="5"/>
  <c r="D38" i="5"/>
  <c r="C47" i="5"/>
  <c r="C46" i="5"/>
  <c r="C45" i="5"/>
  <c r="C44" i="5"/>
  <c r="C43" i="5"/>
  <c r="C42" i="5"/>
  <c r="C41" i="5"/>
  <c r="C47" i="5" a="1"/>
  <c r="C46" i="5" a="1"/>
  <c r="C45" i="5" a="1"/>
  <c r="C44" i="5" a="1"/>
  <c r="C43" i="5" a="1"/>
  <c r="C42" i="5" a="1"/>
  <c r="C41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<sst xmlns="http://schemas.openxmlformats.org/spreadsheetml/2006/main" count="859" uniqueCount="809">
  <si>
    <t>کد کالا (انبار 3)</t>
  </si>
  <si>
    <t>کد کالا (انبار4)</t>
  </si>
  <si>
    <t>Ref. No.</t>
  </si>
  <si>
    <t>EP61 B06</t>
  </si>
  <si>
    <t>EP61 B10</t>
  </si>
  <si>
    <t>EP61 B16</t>
  </si>
  <si>
    <t>EP61 B20</t>
  </si>
  <si>
    <t>EP61 B25</t>
  </si>
  <si>
    <t>EP61 B32</t>
  </si>
  <si>
    <t>EP61 B40</t>
  </si>
  <si>
    <t>EP61 B50</t>
  </si>
  <si>
    <t>EP61 B63</t>
  </si>
  <si>
    <t>EP61 C06</t>
  </si>
  <si>
    <t>EP61 C10</t>
  </si>
  <si>
    <t>EP61 C16</t>
  </si>
  <si>
    <t>EP61 C20</t>
  </si>
  <si>
    <t>EP61 C25</t>
  </si>
  <si>
    <t>EP61 C32</t>
  </si>
  <si>
    <t>EP61 C40</t>
  </si>
  <si>
    <t>EP61 C50</t>
  </si>
  <si>
    <t>EP61 C63</t>
  </si>
  <si>
    <t>مجموع EP61 :</t>
  </si>
  <si>
    <t>EP62 B06</t>
  </si>
  <si>
    <t>EP62 B10</t>
  </si>
  <si>
    <t>EP62 B16</t>
  </si>
  <si>
    <t>EP62 B20</t>
  </si>
  <si>
    <t>EP62 B25</t>
  </si>
  <si>
    <t>EP62 B32</t>
  </si>
  <si>
    <t>EP62 B40</t>
  </si>
  <si>
    <t>EP62 B50</t>
  </si>
  <si>
    <t>EP62 B63</t>
  </si>
  <si>
    <t>EP62 C06</t>
  </si>
  <si>
    <t>EP62 C10</t>
  </si>
  <si>
    <t>EP62 C16</t>
  </si>
  <si>
    <t>EP62 C20</t>
  </si>
  <si>
    <t>EP62 C25</t>
  </si>
  <si>
    <t>EP62 C32</t>
  </si>
  <si>
    <t>EP62 C40</t>
  </si>
  <si>
    <t>EP62 C50</t>
  </si>
  <si>
    <t>EP62 C63</t>
  </si>
  <si>
    <t>مجموع EP62 :</t>
  </si>
  <si>
    <t>EP63 B06</t>
  </si>
  <si>
    <t>EP63 B10</t>
  </si>
  <si>
    <t>EP63 B16</t>
  </si>
  <si>
    <t>EP63 B20</t>
  </si>
  <si>
    <t>EP63 B25</t>
  </si>
  <si>
    <t>EP63 B32</t>
  </si>
  <si>
    <t>EP63 B40</t>
  </si>
  <si>
    <t>EP63 B50</t>
  </si>
  <si>
    <t>EP63 B63</t>
  </si>
  <si>
    <t>EP63 C06</t>
  </si>
  <si>
    <t>EP63 C10</t>
  </si>
  <si>
    <t>EP63 C16</t>
  </si>
  <si>
    <t>EP63 C20</t>
  </si>
  <si>
    <t>EP63 C25</t>
  </si>
  <si>
    <t>EP63 C32</t>
  </si>
  <si>
    <t>EP63 C40</t>
  </si>
  <si>
    <t>EP63 C50</t>
  </si>
  <si>
    <t>EP63 C63</t>
  </si>
  <si>
    <t>مجموع EP63 :</t>
  </si>
  <si>
    <t>EP61 B06N</t>
  </si>
  <si>
    <t>EP61 B10N</t>
  </si>
  <si>
    <t>EP61 B16N</t>
  </si>
  <si>
    <t>EP61 B20N</t>
  </si>
  <si>
    <t>EP61 B25N</t>
  </si>
  <si>
    <t>EP61 B32N</t>
  </si>
  <si>
    <t>EP61 B40N</t>
  </si>
  <si>
    <t>EP61 B50N</t>
  </si>
  <si>
    <t>EP61 B63N</t>
  </si>
  <si>
    <t>EP61 C06N</t>
  </si>
  <si>
    <t>EP61 C10N</t>
  </si>
  <si>
    <t>EP61 C16N</t>
  </si>
  <si>
    <t>EP61 C20N</t>
  </si>
  <si>
    <t>EP61 C25N</t>
  </si>
  <si>
    <t>EP61 C32N</t>
  </si>
  <si>
    <t>EP61 C40N</t>
  </si>
  <si>
    <t>EP61 C50N</t>
  </si>
  <si>
    <t>EP61 C63N</t>
  </si>
  <si>
    <t>مجموع EP61N :</t>
  </si>
  <si>
    <t>EP63 B06N</t>
  </si>
  <si>
    <t>EP63 B10N</t>
  </si>
  <si>
    <t>EP63 B16N</t>
  </si>
  <si>
    <t>EP63 B20N</t>
  </si>
  <si>
    <t>EP63 B25N</t>
  </si>
  <si>
    <t>EP63 B32N</t>
  </si>
  <si>
    <t>EP63 B40N</t>
  </si>
  <si>
    <t>EP63 B50N</t>
  </si>
  <si>
    <t>EP63 B63N</t>
  </si>
  <si>
    <t>EP63 C06N</t>
  </si>
  <si>
    <t>EP63 C10N</t>
  </si>
  <si>
    <t>EP63 C16N</t>
  </si>
  <si>
    <t>EP63 C20N</t>
  </si>
  <si>
    <t>EP63 C25N</t>
  </si>
  <si>
    <t>EP63 C32N</t>
  </si>
  <si>
    <t>EP63 C40N</t>
  </si>
  <si>
    <t>EP63 C50N</t>
  </si>
  <si>
    <t>EP63 C63N</t>
  </si>
  <si>
    <t>مجموع EP63N :</t>
  </si>
  <si>
    <t>DE91 B06</t>
  </si>
  <si>
    <t>DE91 B10</t>
  </si>
  <si>
    <t>DE91 B16</t>
  </si>
  <si>
    <t>DE91 B20</t>
  </si>
  <si>
    <t>DE91 B25</t>
  </si>
  <si>
    <t>DE91 B32</t>
  </si>
  <si>
    <t>DE91 B40</t>
  </si>
  <si>
    <t>DE91 C06</t>
  </si>
  <si>
    <t>DE91 C10</t>
  </si>
  <si>
    <t>DE91 C16</t>
  </si>
  <si>
    <t>DE91 C20</t>
  </si>
  <si>
    <t>DE91 C25</t>
  </si>
  <si>
    <t>DE91 C32</t>
  </si>
  <si>
    <t>DE91 C40</t>
  </si>
  <si>
    <t>مجموع DE91 :</t>
  </si>
  <si>
    <t>DE92 B06</t>
  </si>
  <si>
    <t>DE92 B10</t>
  </si>
  <si>
    <t>DE92 B16</t>
  </si>
  <si>
    <t>DE92 B20</t>
  </si>
  <si>
    <t>DE92 B25</t>
  </si>
  <si>
    <t>DE92 B32</t>
  </si>
  <si>
    <t>DE92 B40</t>
  </si>
  <si>
    <t>DE92 C06</t>
  </si>
  <si>
    <t>DE92 C10</t>
  </si>
  <si>
    <t>DE92 C16</t>
  </si>
  <si>
    <t>DE92 C20</t>
  </si>
  <si>
    <t>DE92 C25</t>
  </si>
  <si>
    <t>DE92 C32</t>
  </si>
  <si>
    <t>DE92 C40</t>
  </si>
  <si>
    <t>مجموع DE92 :</t>
  </si>
  <si>
    <t>DE93 B06</t>
  </si>
  <si>
    <t>DE93 B10</t>
  </si>
  <si>
    <t>DE93 B16</t>
  </si>
  <si>
    <t>DE93 B20</t>
  </si>
  <si>
    <t>DE93 B25</t>
  </si>
  <si>
    <t>DE93 B32</t>
  </si>
  <si>
    <t>DE93 B40</t>
  </si>
  <si>
    <t>DE93 C06</t>
  </si>
  <si>
    <t>DE93 C10</t>
  </si>
  <si>
    <t>DE93 C16</t>
  </si>
  <si>
    <t>DE93 C20</t>
  </si>
  <si>
    <t>DE93 C25</t>
  </si>
  <si>
    <t>DE93 C32</t>
  </si>
  <si>
    <t>DE93 C40</t>
  </si>
  <si>
    <t>مجموع DE93 :</t>
  </si>
  <si>
    <t>DE91 B06N</t>
  </si>
  <si>
    <t>DE91 B10N</t>
  </si>
  <si>
    <t>DE91 B16N</t>
  </si>
  <si>
    <t>DE91 B20N</t>
  </si>
  <si>
    <t>DE91 B25N</t>
  </si>
  <si>
    <t>DE91 B32N</t>
  </si>
  <si>
    <t>DE91 B40N</t>
  </si>
  <si>
    <t>DE91 C06N</t>
  </si>
  <si>
    <t>DE91 C10N</t>
  </si>
  <si>
    <t>DE91 C16N</t>
  </si>
  <si>
    <t>DE91 C20N</t>
  </si>
  <si>
    <t>DE91 C25N</t>
  </si>
  <si>
    <t>DE91 C32N</t>
  </si>
  <si>
    <t>DE91 C40N</t>
  </si>
  <si>
    <t>مجموع DE91N :</t>
  </si>
  <si>
    <t>DE93 B06N</t>
  </si>
  <si>
    <t>DE93 B10N</t>
  </si>
  <si>
    <t>DE93 B16N</t>
  </si>
  <si>
    <t>DE93 B20N</t>
  </si>
  <si>
    <t>DE93 B25N</t>
  </si>
  <si>
    <t>DE93 B32N</t>
  </si>
  <si>
    <t>DE93 B40N</t>
  </si>
  <si>
    <t>DE93 C06N</t>
  </si>
  <si>
    <t>DE93 C10N</t>
  </si>
  <si>
    <t>DE93 C16N</t>
  </si>
  <si>
    <t>DE93 C20N</t>
  </si>
  <si>
    <t>DE93 C25N</t>
  </si>
  <si>
    <t>DE93 C32N</t>
  </si>
  <si>
    <t>DE93 C40N</t>
  </si>
  <si>
    <t>مجموع DE93N :</t>
  </si>
  <si>
    <t>ضریب</t>
  </si>
  <si>
    <t>ردیف</t>
  </si>
  <si>
    <t>کد مرجع</t>
  </si>
  <si>
    <t>توضیحات</t>
  </si>
  <si>
    <t>RTF</t>
  </si>
  <si>
    <t>RCCB</t>
  </si>
  <si>
    <t>RCBO</t>
  </si>
  <si>
    <t>AEG</t>
  </si>
  <si>
    <t>اصطلاح در بازار</t>
  </si>
  <si>
    <t>تعداد در کارتن</t>
  </si>
  <si>
    <t>الکتروسهیل - مشهد</t>
  </si>
  <si>
    <t>خانه برق ایمن-قم</t>
  </si>
  <si>
    <t>خیام الکتریک -سنندج</t>
  </si>
  <si>
    <t>کالای برق عسکری-رشت</t>
  </si>
  <si>
    <t>کالای برق ولیعصر-شیراز</t>
  </si>
  <si>
    <t>پدیده برق و صنعت-تهران</t>
  </si>
  <si>
    <t>صنایع برق موسوی -کرمانشاه</t>
  </si>
  <si>
    <t>کالای برق نیرو-لرستان</t>
  </si>
  <si>
    <t>الکتروفاز -مازندران</t>
  </si>
  <si>
    <t>کرمان تامین نیرو-کرمان</t>
  </si>
  <si>
    <t>فروشگاه ایمن رعد-زاهدان</t>
  </si>
  <si>
    <t>کالای برق فلسطین-گلستان</t>
  </si>
  <si>
    <t>کالا ی برق خسرو-مازندران</t>
  </si>
  <si>
    <t>کالای برق گرمانور-زنجان</t>
  </si>
  <si>
    <t>الکتروپروتون-زنجان</t>
  </si>
  <si>
    <t>الکترو آ.ا.گ - تهران</t>
  </si>
  <si>
    <t>الکترو آ.ا.گ - اهواز</t>
  </si>
  <si>
    <t xml:space="preserve"> تهران - خیابان لاله زار جنوبی- پاساژ ادیسون پلاک 1   </t>
  </si>
  <si>
    <t xml:space="preserve">   اهواز - خیابان طالقانی - بین نظامی و فردوسی- جنب پاساژ برق </t>
  </si>
  <si>
    <t>مشهد - خیابان آخوند خراسانی- آخوند خراسانی 10 - جنب بانک ملی - شماره 940/2</t>
  </si>
  <si>
    <t>قم -بلوار شهید صدوقی -خیابان عطاران -ابتدای کوچه 10 -ساختمان تسنیم واحد 4 کدپستی :3716669166</t>
  </si>
  <si>
    <t xml:space="preserve">   سنندج -چهارراه شهدا - ابتدای خیابان 17 شهریور - پلاک 109 </t>
  </si>
  <si>
    <t xml:space="preserve">نام فروشگاه </t>
  </si>
  <si>
    <t>مدیریت فروشگاه</t>
  </si>
  <si>
    <t>آدرس</t>
  </si>
  <si>
    <t>شماره اقتصادی</t>
  </si>
  <si>
    <t xml:space="preserve">     تهران - خیابان لاله زار جنوبی- پاساژ بهار - طبقه دوم  - پلاک 3/22</t>
  </si>
  <si>
    <t xml:space="preserve">     کرمانشاه - میدان جوانشیر-خیابان کوهساری</t>
  </si>
  <si>
    <t xml:space="preserve">      لرستان - بروجرد -خیابان حافظ شمالی - پلاک  145      </t>
  </si>
  <si>
    <t xml:space="preserve">     ساری- خیابان خیام- جنب آب و فاضلاب روستایی استان</t>
  </si>
  <si>
    <t xml:space="preserve">  کرمان - خیابان آیت الله صالحی - حدفاصل کوچه 10 و 12          </t>
  </si>
  <si>
    <t xml:space="preserve">زاهدان- خیابان امام خمینی غربی- نرسیده به آتش نشانی- روبروی امام خمینی 57 </t>
  </si>
  <si>
    <t xml:space="preserve">گرگان- خیابان شهید بهشتی- 15 متری مهرآیین </t>
  </si>
  <si>
    <t xml:space="preserve"> بابل- اتوبان بابل _ آمل-نرسیده به پلیس راه بابل - ساختمان شمس </t>
  </si>
  <si>
    <t>زنجان- خبابان امام - کوچه باشگاه- روبروی بانک رفاه- الکتریکی گرمانور</t>
  </si>
  <si>
    <t>زنجان -کوچه باشگاه- پاساژ کسری- پلاک 3  کد پستی 4517617117</t>
  </si>
  <si>
    <t xml:space="preserve">ساری -کمربندی جنوبی، بلوار سلیم بهرامی، نبش سلیم بهرام 16 </t>
  </si>
  <si>
    <t>شیراز - خیابان قاآنی شمالی 4</t>
  </si>
  <si>
    <t xml:space="preserve">رشت - فلکه گاز- مقابل آپارتمان های رامیرزا    </t>
  </si>
  <si>
    <t>013-33471780</t>
  </si>
  <si>
    <t>021-33111679</t>
  </si>
  <si>
    <t>021-33938078</t>
  </si>
  <si>
    <t>083-37215080</t>
  </si>
  <si>
    <t>087- 33170220-33170111</t>
  </si>
  <si>
    <t xml:space="preserve"> 066 - 42623599 </t>
  </si>
  <si>
    <t>011-33245364 - 33247364</t>
  </si>
  <si>
    <t>034-32528417-32531153</t>
  </si>
  <si>
    <t>054-33213617</t>
  </si>
  <si>
    <t>017-32233632</t>
  </si>
  <si>
    <t>061-32216147-32233186-7</t>
  </si>
  <si>
    <t>011-32277674</t>
  </si>
  <si>
    <t>051-32255416</t>
  </si>
  <si>
    <t>024-33363532</t>
  </si>
  <si>
    <t>071-32362725</t>
  </si>
  <si>
    <t>025-32944718</t>
  </si>
  <si>
    <t>024-33336771</t>
  </si>
  <si>
    <t>011-33600000</t>
  </si>
  <si>
    <t>RTF16-2</t>
  </si>
  <si>
    <t>RTF16-4</t>
  </si>
  <si>
    <t>RTF32-4</t>
  </si>
  <si>
    <t>RTF25-2</t>
  </si>
  <si>
    <t>RTF32-2</t>
  </si>
  <si>
    <t>RTF40-2</t>
  </si>
  <si>
    <t>RTF50-2</t>
  </si>
  <si>
    <t>RTF63-2</t>
  </si>
  <si>
    <t>RTF25-4</t>
  </si>
  <si>
    <t>RTF40-4</t>
  </si>
  <si>
    <t>RTF50-4</t>
  </si>
  <si>
    <t>RTF63-4</t>
  </si>
  <si>
    <t>AEG25-2</t>
  </si>
  <si>
    <t>AEG32-2</t>
  </si>
  <si>
    <t>AEG40-2</t>
  </si>
  <si>
    <t>AEG25s-2</t>
  </si>
  <si>
    <t>AEG32s-2</t>
  </si>
  <si>
    <t>منجزی</t>
  </si>
  <si>
    <t>اروجلو</t>
  </si>
  <si>
    <t>محمدی</t>
  </si>
  <si>
    <t>عسکری</t>
  </si>
  <si>
    <t>مصلح</t>
  </si>
  <si>
    <t>فرهنگی</t>
  </si>
  <si>
    <t>موسوی</t>
  </si>
  <si>
    <t>سلیمانی</t>
  </si>
  <si>
    <t>مطلبی</t>
  </si>
  <si>
    <t>ترابی</t>
  </si>
  <si>
    <t>فردوسی پور</t>
  </si>
  <si>
    <t>زینلی</t>
  </si>
  <si>
    <t>توپکانلو</t>
  </si>
  <si>
    <t>مهدوی</t>
  </si>
  <si>
    <t>کاظمی</t>
  </si>
  <si>
    <t>محرمی</t>
  </si>
  <si>
    <t>کریمی</t>
  </si>
  <si>
    <t>تاریخ:</t>
  </si>
  <si>
    <t>ASTM 1p</t>
  </si>
  <si>
    <t>کلید ایزولاتور تک فاز 40 آمپر-(6KA)</t>
  </si>
  <si>
    <t>ASTM 3p</t>
  </si>
  <si>
    <t>کلید ایزولاتور سه فاز 40 آمپر-(6KA)</t>
  </si>
  <si>
    <t>فروشگاه RI2</t>
  </si>
  <si>
    <t>کالای برق اسرام</t>
  </si>
  <si>
    <t>بجنورد - خیابان شهید بهشتی جنوبی - جنب کوچه سعدی کالای برق اسرام</t>
  </si>
  <si>
    <t>تلفن</t>
  </si>
  <si>
    <t>09153841431</t>
  </si>
  <si>
    <t>نیک اندیشان نوین</t>
  </si>
  <si>
    <t>نصیری</t>
  </si>
  <si>
    <t>تهران- لاله زار نو (شمالی )-مجتمع تجاری البرز 20 شماره 102</t>
  </si>
  <si>
    <t>021-66341442</t>
  </si>
  <si>
    <t>تهران- میدان امام خمینی- خیابان لاله زار جنوبی- کوچه بوشهری ،پاساژ تهران الکتریک ،طبقه اول ،پلاک 226</t>
  </si>
  <si>
    <t>09124454952</t>
  </si>
  <si>
    <t>ربیعی</t>
  </si>
  <si>
    <t>اصفهان – خیابان فردوسی-جنب بن بست 19 - برق اسپادانا</t>
  </si>
  <si>
    <t>عنوان سند:  ثبت سفارش مشتری</t>
  </si>
  <si>
    <t>نوع امکان سنجی :</t>
  </si>
  <si>
    <t>محصول جدید</t>
  </si>
  <si>
    <t>محصول با سابقه قبلی</t>
  </si>
  <si>
    <t>شرکت درمناقصه</t>
  </si>
  <si>
    <t xml:space="preserve">نمونه  </t>
  </si>
  <si>
    <t>سایر: ....................</t>
  </si>
  <si>
    <t>تاریخ نیازمشتری</t>
  </si>
  <si>
    <r>
      <t>تاریخ امکان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B Titr"/>
        <charset val="178"/>
      </rPr>
      <t>سنجی و</t>
    </r>
    <r>
      <rPr>
        <b/>
        <sz val="8"/>
        <color theme="1"/>
        <rFont val="Times New Roman"/>
        <family val="1"/>
      </rPr>
      <t xml:space="preserve">  </t>
    </r>
    <r>
      <rPr>
        <b/>
        <sz val="8"/>
        <color theme="1"/>
        <rFont val="B Titr"/>
        <charset val="178"/>
      </rPr>
      <t>ارسال</t>
    </r>
  </si>
  <si>
    <r>
      <t xml:space="preserve">«  </t>
    </r>
    <r>
      <rPr>
        <b/>
        <sz val="10"/>
        <color theme="1"/>
        <rFont val="B Nazanin"/>
        <charset val="178"/>
      </rPr>
      <t>توجه :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1"/>
        <rFont val="B Nazanin"/>
        <charset val="178"/>
      </rPr>
      <t xml:space="preserve"> این قسمت توسط واحد فروش قبل از ارسال فرم به واحد برنامه ریزی تکمیل گردد .</t>
    </r>
    <r>
      <rPr>
        <b/>
        <sz val="10"/>
        <color theme="1"/>
        <rFont val="Times New Roman"/>
        <family val="1"/>
      </rPr>
      <t xml:space="preserve"> »</t>
    </r>
  </si>
  <si>
    <t>اطلاعات  و مشخصات فنی محصول درخواست شده توسط مشتری :</t>
  </si>
  <si>
    <t>آیا محصول مذکور دارای آرم یا نام دلخواه مشتری می باشد که برروی محصول حک شود؟    بله               خیر                  کدام آرم / نام ؟  ........................................</t>
  </si>
  <si>
    <r>
      <t>شرایط مونتاژ محصول :</t>
    </r>
    <r>
      <rPr>
        <b/>
        <sz val="9"/>
        <color theme="1"/>
        <rFont val="B Nazanin"/>
        <charset val="178"/>
      </rPr>
      <t xml:space="preserve">  به طور مثال :   مونتاژ با کنتور                     مونتاژ بدون کنتور</t>
    </r>
  </si>
  <si>
    <r>
      <t>«</t>
    </r>
    <r>
      <rPr>
        <b/>
        <sz val="10"/>
        <color theme="1"/>
        <rFont val="B Nazanin"/>
        <charset val="178"/>
      </rPr>
      <t>درصورت نمونه بودن ، قسمت زیرپس از تولید محصول توسط واحدهای تولید  ،فنی مهندسی و کنترل کیفیت تایید گردد.</t>
    </r>
    <r>
      <rPr>
        <b/>
        <sz val="10"/>
        <color theme="1"/>
        <rFont val="Times New Roman"/>
        <family val="1"/>
      </rPr>
      <t>»</t>
    </r>
  </si>
  <si>
    <r>
      <t xml:space="preserve">تایید واحد تولید :                                     </t>
    </r>
    <r>
      <rPr>
        <b/>
        <sz val="9"/>
        <color theme="1"/>
        <rFont val="Times New Roman"/>
        <family val="1"/>
      </rPr>
      <t xml:space="preserve"> </t>
    </r>
    <r>
      <rPr>
        <b/>
        <sz val="9"/>
        <color theme="1"/>
        <rFont val="B Nazanin"/>
        <charset val="178"/>
      </rPr>
      <t xml:space="preserve">                       تایید واحد فنی مهندسی :                        </t>
    </r>
    <r>
      <rPr>
        <b/>
        <sz val="9"/>
        <color theme="1"/>
        <rFont val="Times New Roman"/>
        <family val="1"/>
      </rPr>
      <t xml:space="preserve">  </t>
    </r>
    <r>
      <rPr>
        <b/>
        <sz val="9"/>
        <color theme="1"/>
        <rFont val="B Nazanin"/>
        <charset val="178"/>
      </rPr>
      <t xml:space="preserve">                     تایید واحد کنترل کیفیت :</t>
    </r>
  </si>
  <si>
    <r>
      <t>«</t>
    </r>
    <r>
      <rPr>
        <b/>
        <sz val="10"/>
        <color theme="1"/>
        <rFont val="B Nazanin"/>
        <charset val="178"/>
      </rPr>
      <t xml:space="preserve"> درصورتی که محصول کنتور هوشمند باشد ،تایید نهایی توسط واحد</t>
    </r>
    <r>
      <rPr>
        <b/>
        <sz val="10"/>
        <color theme="1"/>
        <rFont val="Times New Roman"/>
        <family val="1"/>
      </rPr>
      <t xml:space="preserve">R&amp;D </t>
    </r>
    <r>
      <rPr>
        <b/>
        <sz val="10"/>
        <color theme="1"/>
        <rFont val="B Nazanin"/>
        <charset val="178"/>
      </rPr>
      <t xml:space="preserve"> الزامی است </t>
    </r>
    <r>
      <rPr>
        <b/>
        <sz val="10"/>
        <color theme="1"/>
        <rFont val="Times New Roman"/>
        <family val="1"/>
      </rPr>
      <t>»</t>
    </r>
    <r>
      <rPr>
        <b/>
        <sz val="10"/>
        <color theme="1"/>
        <rFont val="B Nazanin"/>
        <charset val="178"/>
      </rPr>
      <t xml:space="preserve">                       </t>
    </r>
    <r>
      <rPr>
        <b/>
        <sz val="9"/>
        <color theme="1"/>
        <rFont val="B Nazanin"/>
        <charset val="178"/>
      </rPr>
      <t xml:space="preserve">تایید واحد </t>
    </r>
    <r>
      <rPr>
        <b/>
        <sz val="9"/>
        <color theme="1"/>
        <rFont val="Times New Roman"/>
        <family val="1"/>
      </rPr>
      <t xml:space="preserve">R&amp;D </t>
    </r>
    <r>
      <rPr>
        <b/>
        <sz val="9"/>
        <color theme="1"/>
        <rFont val="B Nazanin"/>
        <charset val="178"/>
      </rPr>
      <t xml:space="preserve"> </t>
    </r>
    <r>
      <rPr>
        <b/>
        <sz val="9"/>
        <color theme="1"/>
        <rFont val="Times New Roman"/>
        <family val="1"/>
      </rPr>
      <t xml:space="preserve"> </t>
    </r>
    <r>
      <rPr>
        <b/>
        <sz val="9"/>
        <color theme="1"/>
        <rFont val="B Nazanin"/>
        <charset val="178"/>
      </rPr>
      <t>:</t>
    </r>
  </si>
  <si>
    <r>
      <t>مدیرفروش</t>
    </r>
    <r>
      <rPr>
        <b/>
        <sz val="9"/>
        <color theme="1"/>
        <rFont val="Times New Roman"/>
        <family val="1"/>
      </rPr>
      <t xml:space="preserve"> :</t>
    </r>
    <r>
      <rPr>
        <b/>
        <sz val="9"/>
        <color theme="1"/>
        <rFont val="B Nazanin"/>
        <charset val="178"/>
      </rPr>
      <t xml:space="preserve">    </t>
    </r>
    <r>
      <rPr>
        <b/>
        <sz val="9"/>
        <color theme="1"/>
        <rFont val="Times New Roman"/>
        <family val="1"/>
      </rPr>
      <t xml:space="preserve">        </t>
    </r>
    <r>
      <rPr>
        <b/>
        <sz val="9"/>
        <color theme="1"/>
        <rFont val="B Nazanin"/>
        <charset val="178"/>
      </rPr>
      <t xml:space="preserve">     </t>
    </r>
  </si>
  <si>
    <t>توجه: این قسمت توسط انبار تکمیل وتاییدگردد</t>
  </si>
  <si>
    <t>تعداد ارسالی</t>
  </si>
  <si>
    <r>
      <t>جمع کل</t>
    </r>
    <r>
      <rPr>
        <b/>
        <sz val="10"/>
        <color theme="1"/>
        <rFont val="B Mitra"/>
        <charset val="178"/>
      </rPr>
      <t>:</t>
    </r>
  </si>
  <si>
    <r>
      <t xml:space="preserve">توزیع نسخ :  فروش / برنامه ریزی/  انبار </t>
    </r>
    <r>
      <rPr>
        <sz val="6"/>
        <color theme="1"/>
        <rFont val="Times New Roman"/>
        <family val="1"/>
      </rPr>
      <t xml:space="preserve">                                                        ""  </t>
    </r>
    <r>
      <rPr>
        <b/>
        <sz val="9"/>
        <color theme="1"/>
        <rFont val="Times New Roman"/>
        <family val="1"/>
      </rPr>
      <t>این امکان سنجی از تاریخ صدور فقط به مدت دو روز کاری اعتبار دارد "</t>
    </r>
  </si>
  <si>
    <r>
      <t xml:space="preserve">   </t>
    </r>
    <r>
      <rPr>
        <b/>
        <sz val="10"/>
        <color theme="1"/>
        <rFont val="B Titr"/>
        <charset val="178"/>
      </rPr>
      <t xml:space="preserve">شماره سند :  </t>
    </r>
    <r>
      <rPr>
        <b/>
        <sz val="10"/>
        <color theme="1"/>
        <rFont val="Times New Roman"/>
        <family val="1"/>
      </rPr>
      <t>FSS04</t>
    </r>
    <r>
      <rPr>
        <b/>
        <sz val="10"/>
        <color theme="1"/>
        <rFont val="B Titr"/>
        <charset val="178"/>
      </rPr>
      <t xml:space="preserve">                        </t>
    </r>
    <r>
      <rPr>
        <b/>
        <sz val="10"/>
        <color theme="1"/>
        <rFont val="Times New Roman"/>
        <family val="1"/>
      </rPr>
      <t xml:space="preserve">     </t>
    </r>
    <r>
      <rPr>
        <b/>
        <sz val="10"/>
        <color theme="1"/>
        <rFont val="B Titr"/>
        <charset val="178"/>
      </rPr>
      <t xml:space="preserve">   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1"/>
        <rFont val="B Titr"/>
        <charset val="178"/>
      </rPr>
      <t xml:space="preserve">      شماره ويرايش :   </t>
    </r>
    <r>
      <rPr>
        <b/>
        <sz val="10"/>
        <color theme="1"/>
        <rFont val="Times New Roman"/>
        <family val="1"/>
      </rPr>
      <t>14</t>
    </r>
    <r>
      <rPr>
        <b/>
        <sz val="10"/>
        <color theme="1"/>
        <rFont val="B Titr"/>
        <charset val="178"/>
      </rPr>
      <t xml:space="preserve">       </t>
    </r>
    <r>
      <rPr>
        <b/>
        <sz val="10"/>
        <color theme="1"/>
        <rFont val="Times New Roman"/>
        <family val="1"/>
      </rPr>
      <t xml:space="preserve">   </t>
    </r>
    <r>
      <rPr>
        <b/>
        <sz val="10"/>
        <color theme="1"/>
        <rFont val="B Titr"/>
        <charset val="178"/>
      </rPr>
      <t xml:space="preserve">         </t>
    </r>
    <r>
      <rPr>
        <b/>
        <sz val="10"/>
        <color theme="1"/>
        <rFont val="Times New Roman"/>
        <family val="1"/>
      </rPr>
      <t xml:space="preserve">   </t>
    </r>
    <r>
      <rPr>
        <b/>
        <sz val="10"/>
        <color theme="1"/>
        <rFont val="B Titr"/>
        <charset val="178"/>
      </rPr>
      <t xml:space="preserve">            تاريخ ويرايش </t>
    </r>
    <r>
      <rPr>
        <b/>
        <sz val="10"/>
        <color theme="1"/>
        <rFont val="Times New Roman"/>
        <family val="1"/>
      </rPr>
      <t>:</t>
    </r>
    <r>
      <rPr>
        <b/>
        <sz val="10"/>
        <color theme="1"/>
        <rFont val="B Titr"/>
        <charset val="178"/>
      </rPr>
      <t xml:space="preserve"> </t>
    </r>
    <r>
      <rPr>
        <b/>
        <sz val="10"/>
        <color theme="1"/>
        <rFont val="Times New Roman"/>
        <family val="1"/>
      </rPr>
      <t xml:space="preserve">1395.04.05 </t>
    </r>
    <r>
      <rPr>
        <b/>
        <sz val="10"/>
        <color theme="1"/>
        <rFont val="B Titr"/>
        <charset val="178"/>
      </rPr>
      <t xml:space="preserve">            </t>
    </r>
    <r>
      <rPr>
        <b/>
        <sz val="10"/>
        <color theme="1"/>
        <rFont val="Times New Roman"/>
        <family val="1"/>
      </rPr>
      <t xml:space="preserve">    </t>
    </r>
    <r>
      <rPr>
        <b/>
        <sz val="10"/>
        <color theme="1"/>
        <rFont val="B Titr"/>
        <charset val="178"/>
      </rPr>
      <t xml:space="preserve">   </t>
    </r>
    <r>
      <rPr>
        <b/>
        <sz val="10"/>
        <color theme="1"/>
        <rFont val="Times New Roman"/>
        <family val="1"/>
      </rPr>
      <t xml:space="preserve">  </t>
    </r>
    <r>
      <rPr>
        <b/>
        <sz val="10"/>
        <color theme="1"/>
        <rFont val="B Titr"/>
        <charset val="178"/>
      </rPr>
      <t xml:space="preserve">            صفحه</t>
    </r>
    <r>
      <rPr>
        <b/>
        <sz val="10"/>
        <color theme="1"/>
        <rFont val="Times New Roman"/>
        <family val="1"/>
      </rPr>
      <t xml:space="preserve"> 2 </t>
    </r>
    <r>
      <rPr>
        <b/>
        <sz val="10"/>
        <color theme="1"/>
        <rFont val="B Titr"/>
        <charset val="178"/>
      </rPr>
      <t>از</t>
    </r>
    <r>
      <rPr>
        <b/>
        <sz val="10"/>
        <color theme="1"/>
        <rFont val="Times New Roman"/>
        <family val="1"/>
      </rPr>
      <t xml:space="preserve"> 2</t>
    </r>
    <r>
      <rPr>
        <b/>
        <sz val="10"/>
        <color theme="1"/>
        <rFont val="B Titr"/>
        <charset val="178"/>
      </rPr>
      <t xml:space="preserve">                          </t>
    </r>
  </si>
  <si>
    <t xml:space="preserve">سرپرست برنامه ریزی:              </t>
  </si>
  <si>
    <t>تاریخ ارسالی:</t>
  </si>
  <si>
    <r>
      <t xml:space="preserve">   تاریخ : </t>
    </r>
    <r>
      <rPr>
        <b/>
        <sz val="9"/>
        <color theme="1"/>
        <rFont val="Times New Roman"/>
        <family val="1"/>
      </rPr>
      <t/>
    </r>
  </si>
  <si>
    <r>
      <t>سایر موارد :</t>
    </r>
    <r>
      <rPr>
        <b/>
        <sz val="9"/>
        <color theme="1"/>
        <rFont val="B Nazanin"/>
        <charset val="178"/>
      </rPr>
      <t xml:space="preserve"> 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</si>
  <si>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تاریخ ارسال:</t>
  </si>
  <si>
    <t>رامین تجارت گستران پارس نور</t>
  </si>
  <si>
    <t>رضامند</t>
  </si>
  <si>
    <t>مشهد - خیابان اخوند خراسانی -بین آخوند خراسانی 7 و9-پلاک 9/9</t>
  </si>
  <si>
    <t>051-32258500</t>
  </si>
  <si>
    <t>خیربین</t>
  </si>
  <si>
    <t>056-32403502</t>
  </si>
  <si>
    <t>بیرجند-خیابان شهید بهشتی -بهشتی 19- کالای برق و لوستر خیربین</t>
  </si>
  <si>
    <t>کالای برق و لوسترخیربین</t>
  </si>
  <si>
    <t>کالای برق سعید</t>
  </si>
  <si>
    <t>قزوین - خیابان سعدی -چهار راه نظام وفا به طرف بازار - مقابل بانک تجارت</t>
  </si>
  <si>
    <t>عابدینی</t>
  </si>
  <si>
    <t>028-33229771</t>
  </si>
  <si>
    <t>شایان برق هرمز</t>
  </si>
  <si>
    <t>فرهادی</t>
  </si>
  <si>
    <t>بندر عباس -خیابان کارگزاری - پشت مبل گله داری - فروشگاه شایان برق هرمز</t>
  </si>
  <si>
    <t>076-32214042</t>
  </si>
  <si>
    <t>کالای برق یزد الکتریک</t>
  </si>
  <si>
    <t>پوریوسفی</t>
  </si>
  <si>
    <t>کرج - خیابان شهید بهشتی -حدفاصل سه راهی گوهر دشت و دهقان ویلا -جنب بانک سپه</t>
  </si>
  <si>
    <t>026-34468315</t>
  </si>
  <si>
    <t>کالای برق آرتیمان</t>
  </si>
  <si>
    <t>امینی</t>
  </si>
  <si>
    <t>مازندران - آمل -میدان قائم -بعد از پمپ بنزین - روبروی آفتاب 56 - پلاک 110</t>
  </si>
  <si>
    <t>011-44234742-4</t>
  </si>
  <si>
    <t>الکتروتکنیک ارگ قدرت</t>
  </si>
  <si>
    <t>سیدین</t>
  </si>
  <si>
    <t>تبریز - خیابان فردوسی - ابتدای خیابان امین -جنب باربری لوان تور</t>
  </si>
  <si>
    <t>041-35544797</t>
  </si>
  <si>
    <t>کالای برق مناف زاده</t>
  </si>
  <si>
    <t>اردبیل - خیابان جمهوری -کالای برق مناف زاده</t>
  </si>
  <si>
    <t>045-33334834</t>
  </si>
  <si>
    <t>مناف زاده</t>
  </si>
  <si>
    <t>یگانه فرد</t>
  </si>
  <si>
    <t>035-35228852</t>
  </si>
  <si>
    <t>الکترو تابناک</t>
  </si>
  <si>
    <t>برزگر</t>
  </si>
  <si>
    <t>تبریز -خیابان فردوسی روبروی سرای نصیرزاده - پلاک 203</t>
  </si>
  <si>
    <t>کالای برق عسگریان</t>
  </si>
  <si>
    <t>عسگریان</t>
  </si>
  <si>
    <t xml:space="preserve">همدان - خیابان باباطاهر جنب مسجد میرزا داوود </t>
  </si>
  <si>
    <t>041-35550174</t>
  </si>
  <si>
    <t>081-32520751</t>
  </si>
  <si>
    <t>شماره سریال :</t>
  </si>
  <si>
    <r>
      <t xml:space="preserve">2-   تاریخ امکان سنجی وارسال موردتایید است و سفارش قطعی است : مدیر فروش               </t>
    </r>
    <r>
      <rPr>
        <b/>
        <sz val="9"/>
        <color theme="1"/>
        <rFont val="Times New Roman"/>
        <family val="1"/>
      </rPr>
      <t xml:space="preserve"> </t>
    </r>
  </si>
  <si>
    <t>NOT OK</t>
  </si>
  <si>
    <t xml:space="preserve">OK </t>
  </si>
  <si>
    <t xml:space="preserve">کد اقتصادی / کد ملی  مشتری : </t>
  </si>
  <si>
    <t>قطع کن برقی سوخت</t>
  </si>
  <si>
    <t>35</t>
  </si>
  <si>
    <t xml:space="preserve">تهران - کیلومتر ۱۴ جاده مخصوص کرج (بزرگراه شهید لشگری)، شرکت ایران خودرو </t>
  </si>
  <si>
    <t>9624441-021</t>
  </si>
  <si>
    <t>شرکت مهندسی تامین قطعات ایران خودرو ساپکو</t>
  </si>
  <si>
    <t>441130102</t>
  </si>
  <si>
    <t>441130103</t>
  </si>
  <si>
    <t>441130104</t>
  </si>
  <si>
    <t>441130105</t>
  </si>
  <si>
    <t>441130106</t>
  </si>
  <si>
    <t>441130107</t>
  </si>
  <si>
    <t>441130110</t>
  </si>
  <si>
    <t>441130111</t>
  </si>
  <si>
    <t>441130112</t>
  </si>
  <si>
    <t>441130113</t>
  </si>
  <si>
    <t>441130114</t>
  </si>
  <si>
    <t>441130115</t>
  </si>
  <si>
    <t>441130116</t>
  </si>
  <si>
    <t>441130117</t>
  </si>
  <si>
    <t>441130118</t>
  </si>
  <si>
    <t>443130106</t>
  </si>
  <si>
    <t>443130107</t>
  </si>
  <si>
    <t>443130110</t>
  </si>
  <si>
    <t>443130111</t>
  </si>
  <si>
    <t>443130113</t>
  </si>
  <si>
    <t>443130114</t>
  </si>
  <si>
    <t>443130112</t>
  </si>
  <si>
    <t>443130115</t>
  </si>
  <si>
    <t>443130116</t>
  </si>
  <si>
    <t>443130117</t>
  </si>
  <si>
    <t>443130118</t>
  </si>
  <si>
    <t>552533</t>
  </si>
  <si>
    <t>552535</t>
  </si>
  <si>
    <t>552537</t>
  </si>
  <si>
    <t>552538</t>
  </si>
  <si>
    <t>552539</t>
  </si>
  <si>
    <t>552540</t>
  </si>
  <si>
    <t>552610</t>
  </si>
  <si>
    <t>552612</t>
  </si>
  <si>
    <t>552613</t>
  </si>
  <si>
    <t>552615</t>
  </si>
  <si>
    <t>552617</t>
  </si>
  <si>
    <t>552618</t>
  </si>
  <si>
    <t>552619</t>
  </si>
  <si>
    <t>552620</t>
  </si>
  <si>
    <t>552621</t>
  </si>
  <si>
    <t>552571</t>
  </si>
  <si>
    <t>552572</t>
  </si>
  <si>
    <t>552642</t>
  </si>
  <si>
    <t>552644</t>
  </si>
  <si>
    <t>552645</t>
  </si>
  <si>
    <t>552647</t>
  </si>
  <si>
    <t>552649</t>
  </si>
  <si>
    <t>552650</t>
  </si>
  <si>
    <t>552651</t>
  </si>
  <si>
    <t>552652</t>
  </si>
  <si>
    <t>552653</t>
  </si>
  <si>
    <t>E91E B06</t>
  </si>
  <si>
    <t>E91E B10</t>
  </si>
  <si>
    <t>E91E B16</t>
  </si>
  <si>
    <t>E91E B20</t>
  </si>
  <si>
    <t>E91E B25</t>
  </si>
  <si>
    <t>E91E B32</t>
  </si>
  <si>
    <t>E91E C02</t>
  </si>
  <si>
    <t>E91E C04</t>
  </si>
  <si>
    <t>E91E C06</t>
  </si>
  <si>
    <t>E91E C25</t>
  </si>
  <si>
    <t>E91E C32</t>
  </si>
  <si>
    <t>E91E C16</t>
  </si>
  <si>
    <t>E91E C10</t>
  </si>
  <si>
    <t>E91E C20</t>
  </si>
  <si>
    <t>E91E C40</t>
  </si>
  <si>
    <t>E93E B25</t>
  </si>
  <si>
    <t>E93E B32</t>
  </si>
  <si>
    <t>E93E C02</t>
  </si>
  <si>
    <t>E93E C04</t>
  </si>
  <si>
    <t>E93E C06</t>
  </si>
  <si>
    <t>E93E C10</t>
  </si>
  <si>
    <t>E93E C16</t>
  </si>
  <si>
    <t>E93E C20</t>
  </si>
  <si>
    <t>E93E C25</t>
  </si>
  <si>
    <t>E93E C32</t>
  </si>
  <si>
    <t>E93E C40</t>
  </si>
  <si>
    <t>مجموع E91E :</t>
  </si>
  <si>
    <t>مجموع E93E :</t>
  </si>
  <si>
    <t>قائمی</t>
  </si>
  <si>
    <t>کد عاملیت</t>
  </si>
  <si>
    <t>کد تفصیلی :</t>
  </si>
  <si>
    <t xml:space="preserve">نام مشتری : </t>
  </si>
  <si>
    <t xml:space="preserve">تلفن مشتری : </t>
  </si>
  <si>
    <r>
      <t xml:space="preserve">  </t>
    </r>
    <r>
      <rPr>
        <b/>
        <sz val="9"/>
        <color theme="1"/>
        <rFont val="B Nazanin"/>
        <charset val="178"/>
      </rPr>
      <t xml:space="preserve">آدرس مشتری : </t>
    </r>
  </si>
  <si>
    <t>36</t>
  </si>
  <si>
    <t>فروشگاه و کالای برق قنبری</t>
  </si>
  <si>
    <t>قنبری نیا</t>
  </si>
  <si>
    <t>اراک- خیابان مشهد ۵۰ متر بعد از پمپ بنزین نرسیده به لعلی</t>
  </si>
  <si>
    <t>086-34255880-1</t>
  </si>
  <si>
    <t>37</t>
  </si>
  <si>
    <t xml:space="preserve">سلیمی-عطایی </t>
  </si>
  <si>
    <t>اهواز-کیانپارس خیابان وهابی نبش 16 پلاک 14</t>
  </si>
  <si>
    <t>061-33377223</t>
  </si>
  <si>
    <t>فروشگاه برق اسپادانا</t>
  </si>
  <si>
    <t>447330248</t>
  </si>
  <si>
    <t>سلیمی</t>
  </si>
  <si>
    <t>031-32246465</t>
  </si>
  <si>
    <t>کویر صنعت یگانه</t>
  </si>
  <si>
    <t>یزد-بلوارجمهوری-روبروی درب کارخانه افشار- ساختمان یگانه</t>
  </si>
  <si>
    <t>نوع کلید مینیاتوری</t>
  </si>
  <si>
    <t xml:space="preserve">کلید مینیاتوری تک فاز 06آمپر تیپB  (10 KA) </t>
  </si>
  <si>
    <t xml:space="preserve">کلید مینیاتوری تک فاز 10 آمپر تیپ B (10 KA) </t>
  </si>
  <si>
    <t xml:space="preserve">کلید مینیاتوری تک فاز16 آمپر تیپ B (10 KA) </t>
  </si>
  <si>
    <t xml:space="preserve">کلید مینیاتوری تک فاز20 آمپر تیپ B (10 KA) </t>
  </si>
  <si>
    <t xml:space="preserve">کلید مینیاتوری تک فاز25 آمپر تیپ B (10 KA) </t>
  </si>
  <si>
    <t xml:space="preserve">کلید مینیاتوری تک فاز32 آمپر تیپ B (10 KA) </t>
  </si>
  <si>
    <t xml:space="preserve">کلید مینیاتوری تک فاز40 آمپر تیپ B (10 KA) </t>
  </si>
  <si>
    <t xml:space="preserve">کلید مینیاتوری تک فاز50 آمپر تیپ B (10 KA) </t>
  </si>
  <si>
    <t xml:space="preserve">کلید مینیاتوری تک فاز63 آمپر تیپ B (10 KA) </t>
  </si>
  <si>
    <t xml:space="preserve">کلید مینیاتوری تک فاز06 آمپر تیپ C (10 KA) </t>
  </si>
  <si>
    <t xml:space="preserve">کلید مینیاتوری تک فاز10 آمپر تیپ C (10 KA) </t>
  </si>
  <si>
    <t xml:space="preserve">کلید مینیاتوری تک فاز16 آمپر تیپ C (10 KA) </t>
  </si>
  <si>
    <t xml:space="preserve">کلید مینیاتوری تک فاز20 آمپر تیپ C (10 KA) </t>
  </si>
  <si>
    <t xml:space="preserve">کلید مینیاتوری تک فاز25 آمپر تیپ C (10 KA) </t>
  </si>
  <si>
    <t xml:space="preserve">کلید مینیاتوری تک فاز32 آمپر تیپ C (10 KA) </t>
  </si>
  <si>
    <t xml:space="preserve">کلید مینیاتوری تک فاز40 آمپر تیپ C (10 KA) </t>
  </si>
  <si>
    <t xml:space="preserve">کلید مینیاتوری تک فاز50 آمپر تیپ C (10 KA) </t>
  </si>
  <si>
    <t xml:space="preserve">کلید مینیاتوری تک فاز63 آمپر تیپ C (10 KA) </t>
  </si>
  <si>
    <t xml:space="preserve">کلید مینیاتوری دو فاز06 آمپر تیپ B (10 KA) </t>
  </si>
  <si>
    <t xml:space="preserve">کلید مینیاتوری دو فاز10 آمپر تیپ B (10 KA) </t>
  </si>
  <si>
    <t xml:space="preserve">کلید مینیاتوری دو فاز16 آمپر تیپ B (10 KA) </t>
  </si>
  <si>
    <t xml:space="preserve">کلید مینیاتوری دو فاز20 آمپر تیپ B (10 KA) </t>
  </si>
  <si>
    <t xml:space="preserve">کلید مینیاتوری دو فاز25 آمپر تیپ B (10 KA) </t>
  </si>
  <si>
    <t xml:space="preserve">کلید مینیاتوری دو فاز32 آمپر تیپ B (10 KA) </t>
  </si>
  <si>
    <t xml:space="preserve">کلید مینیاتوری دو فاز40 آمپر تیپ B (10 KA) </t>
  </si>
  <si>
    <t xml:space="preserve">کلید مینیاتوری دو فاز50 آمپر تیپ B (10 KA) </t>
  </si>
  <si>
    <t xml:space="preserve">کلید مینیاتوری دو فاز63 آمپر تیپ B (10 KA) </t>
  </si>
  <si>
    <t xml:space="preserve">کلید مینیاتوری دو فاز06 آمپر تیپ C (10 KA) </t>
  </si>
  <si>
    <t xml:space="preserve">کلید مینیاتوری دو فاز10 آمپر تیپ C (10 KA) </t>
  </si>
  <si>
    <t xml:space="preserve">کلید مینیاتوری دو فاز16 آمپر تیپ C (10 KA) </t>
  </si>
  <si>
    <t xml:space="preserve">کلید مینیاتوری دو فاز20 آمپر تیپ C (10 KA) </t>
  </si>
  <si>
    <t xml:space="preserve">کلید مینیاتوری دو فاز25 آمپر تیپ C (10 KA) </t>
  </si>
  <si>
    <t xml:space="preserve">کلید مینیاتوری دو فاز32 آمپر تیپ C (10 KA) </t>
  </si>
  <si>
    <t xml:space="preserve">کلید مینیاتوری دو فاز40 آمپر تیپ C (10 KA) </t>
  </si>
  <si>
    <t xml:space="preserve">کلید مینیاتوری دو فاز50 آمپر تیپ C (10 KA) </t>
  </si>
  <si>
    <t xml:space="preserve">کلید مینیاتوری دو فاز63 آمپر تیپ C (10 KA) </t>
  </si>
  <si>
    <t xml:space="preserve">کلید مینیاتوری سه فاز06 آمپر تیپ B (10 KA) </t>
  </si>
  <si>
    <t xml:space="preserve">کلید مینیاتوری سه فاز10 آمپر تیپ B (10 KA) </t>
  </si>
  <si>
    <t xml:space="preserve">کلید مینیاتوری سه فاز16 آمپر تیپ B (10 KA) </t>
  </si>
  <si>
    <t xml:space="preserve">کلید مینیاتوری سه فاز20 آمپر تیپ B (10 KA) </t>
  </si>
  <si>
    <t xml:space="preserve">کلید مینیاتوری سه فاز25 آمپر تیپ B (10 KA) </t>
  </si>
  <si>
    <t xml:space="preserve">کلید مینیاتوری سه فاز32 آمپر تیپ B (10 KA) </t>
  </si>
  <si>
    <t xml:space="preserve">کلید مینیاتوری سه فاز40 آمپر تیپ B (10 KA) </t>
  </si>
  <si>
    <t xml:space="preserve">کلید مینیاتوری سه فاز50 آمپر تیپ B (10 KA) </t>
  </si>
  <si>
    <t xml:space="preserve">کلید مینیاتوری سه فاز63 آمپر تیپ B (10 KA) </t>
  </si>
  <si>
    <t xml:space="preserve">کلید مینیاتوری سه فاز06 آمپر تیپ C (10 KA) </t>
  </si>
  <si>
    <t xml:space="preserve">کلید مینیاتوری سه فاز10 آمپر تیپ C (10 KA) </t>
  </si>
  <si>
    <t xml:space="preserve">کلید مینیاتوری سه فاز16 آمپر تیپ C (10 KA) </t>
  </si>
  <si>
    <t xml:space="preserve">کلید مینیاتوری سه فاز20 آمپر تیپ C (10 KA) </t>
  </si>
  <si>
    <t xml:space="preserve">کلید مینیاتوری سه فاز25 آمپر تیپ C (10 KA) </t>
  </si>
  <si>
    <t xml:space="preserve">کلید مینیاتوری سه فاز32 آمپر تیپ C (10 KA) </t>
  </si>
  <si>
    <t xml:space="preserve">کلید مینیاتوری سه فاز40 آمپر تیپ C (10 KA) </t>
  </si>
  <si>
    <t xml:space="preserve">کلید مینیاتوری سه فاز50 آمپر تیپ C (10 KA) </t>
  </si>
  <si>
    <t xml:space="preserve">کلید مینیاتوری سه فاز63 آمپر تیپ C (10 KA) </t>
  </si>
  <si>
    <t xml:space="preserve">کلید مینیاتوری تک فاز+نول 06 آمپر تیپ B (10 KA) </t>
  </si>
  <si>
    <t xml:space="preserve">کلید مینیاتوری تک فاز+نول 10 آمپر تیپ B (10 KA) </t>
  </si>
  <si>
    <t xml:space="preserve">کلید مینیاتوری تک فاز+نول 16 آمپر تیپ B (10 KA) </t>
  </si>
  <si>
    <t xml:space="preserve">کلید مینیاتوری تک فاز+نول 20 آمپر تیپ B (10 KA) </t>
  </si>
  <si>
    <t xml:space="preserve">کلید مینیاتوری تک فاز+نول 25 آمپر تیپ B (10 KA) </t>
  </si>
  <si>
    <t xml:space="preserve">کلید مینیاتوری تک فاز+نول 32 آمپر تیپ B (10 KA) </t>
  </si>
  <si>
    <t xml:space="preserve">کلید مینیاتوری تک فاز+نول 40 آمپر تیپ B (10 KA) </t>
  </si>
  <si>
    <t xml:space="preserve">کلید مینیاتوری تک فاز+نول 50 آمپر تیپ B (10 KA) </t>
  </si>
  <si>
    <t xml:space="preserve">کلید مینیاتوری تک فاز+نول 63 آمپر تیپ B (10 KA) </t>
  </si>
  <si>
    <t xml:space="preserve">کلید مینیاتوری تک فاز+نول 06 آمپر تیپ C (10 KA) </t>
  </si>
  <si>
    <t xml:space="preserve">کلید مینیاتوری تک فاز+نول 10 آمپر تیپ C (10 KA) </t>
  </si>
  <si>
    <t xml:space="preserve">کلید مینیاتوری تک فاز+نول 16 آمپر تیپ C (10 KA) </t>
  </si>
  <si>
    <t xml:space="preserve">کلید مینیاتوری تک فاز+نول 20 آمپر تیپ C (10 KA) </t>
  </si>
  <si>
    <t xml:space="preserve">کلید مینیاتوری تک فاز+نول 25 آمپر تیپ C (10 KA) </t>
  </si>
  <si>
    <t xml:space="preserve">کلید مینیاتوری تک فاز+نول 32 آمپر تیپ C (10 KA) </t>
  </si>
  <si>
    <t xml:space="preserve">کلید مینیاتوری تک فاز+نول 40 آمپر تیپ C (10 KA) </t>
  </si>
  <si>
    <t xml:space="preserve">کلید مینیاتوری تک فاز+نول 50 آمپر تیپ C (10 KA) </t>
  </si>
  <si>
    <t xml:space="preserve">کلید مینیاتوری تک فاز+نول 63 آمپر تیپ C (10 KA) </t>
  </si>
  <si>
    <t xml:space="preserve">کلید مینیاتوری سه فاز +نول 06 آمپر تیپ B (10 KA) </t>
  </si>
  <si>
    <t xml:space="preserve">کلید مینیاتوری سه فاز +نول 10 آمپر تیپ B (10 KA) </t>
  </si>
  <si>
    <t xml:space="preserve">کلید مینیاتوری سه فاز +نول 16 آمپر تیپ B (10 KA) </t>
  </si>
  <si>
    <t xml:space="preserve">کلید مینیاتوری سه فاز +نول 20 آمپر تیپ B (10 KA) </t>
  </si>
  <si>
    <t xml:space="preserve">کلید مینیاتوری سه فاز +نول 25 آمپر تیپ B (10 KA) </t>
  </si>
  <si>
    <t xml:space="preserve">کلید مینیاتوری سه فاز +نول 32 آمپر تیپ B (10 KA) </t>
  </si>
  <si>
    <t xml:space="preserve">کلید مینیاتوری سه فاز +نول 40 آمپر تیپ B (10 KA) </t>
  </si>
  <si>
    <t xml:space="preserve">کلید مینیاتوری سه فاز +نول 50 آمپر تیپ B (10 KA) </t>
  </si>
  <si>
    <t xml:space="preserve">کلید مینیاتوری سه فاز +نول 63 آمپر تیپ B (10 KA) </t>
  </si>
  <si>
    <t xml:space="preserve">کلید مینیاتوری سه فاز +نول 06 آمپر تیپ C (10 KA) </t>
  </si>
  <si>
    <t xml:space="preserve">کلید مینیاتوری سه فاز +نول 10 آمپر تیپ C (10 KA) </t>
  </si>
  <si>
    <t xml:space="preserve">کلید مینیاتوری سه فاز +نول 16 آمپر تیپ C (10 KA) </t>
  </si>
  <si>
    <t xml:space="preserve">کلید مینیاتوری سه فاز +نول 20 آمپر تیپ C (10 KA) </t>
  </si>
  <si>
    <t xml:space="preserve">کلید مینیاتوری سه فاز +نول 25 آمپر تیپ C (10 KA) </t>
  </si>
  <si>
    <t xml:space="preserve">کلید مینیاتوری سه فاز +نول 32 آمپر تیپ C (10 KA) </t>
  </si>
  <si>
    <t xml:space="preserve">کلید مینیاتوری سه فاز +نول 40 آمپر تیپ C (10 KA) </t>
  </si>
  <si>
    <t xml:space="preserve">کلید مینیاتوری سه فاز +نول 50 آمپر تیپ C (10 KA) </t>
  </si>
  <si>
    <t xml:space="preserve">کلید مینیاتوری سه فاز +نول 63 آمپر تیپ C (10 KA) </t>
  </si>
  <si>
    <t>کلید مینیاتوری تک فاز06 آمپر تیپ B(6 KA)</t>
  </si>
  <si>
    <t>کلید مینیاتوری تک فاز10 آمپر تیپ B(6 KA)</t>
  </si>
  <si>
    <t xml:space="preserve">کلید مینیاتوری تک فاز16 آمپر تیپ B (6 KA) </t>
  </si>
  <si>
    <t xml:space="preserve">کلید مینیاتوری تک فاز20 آمپر تیپ B (6 KA) </t>
  </si>
  <si>
    <t xml:space="preserve">کلید مینیاتوری تک فاز25 آمپر تیپ B (6 KA) </t>
  </si>
  <si>
    <t xml:space="preserve">کلید مینیاتوری تک فاز32 آمپر تیپ B (6 KA) </t>
  </si>
  <si>
    <t xml:space="preserve">کلید مینیاتوری تک فاز40 آمپر تیپ B (6 KA) </t>
  </si>
  <si>
    <t xml:space="preserve">کلید مینیاتوری تک فاز06 آمپر تیپ C (6 KA) </t>
  </si>
  <si>
    <t xml:space="preserve">کلید مینیاتوری تک فاز10 آمپر تیپ C (6 KA) </t>
  </si>
  <si>
    <t xml:space="preserve">کلید مینیاتوری تک فاز16 آمپر تیپ C (6 KA) </t>
  </si>
  <si>
    <t xml:space="preserve">کلید مینیاتوری تک فاز20 آمپر تیپ C (6 KA) </t>
  </si>
  <si>
    <t xml:space="preserve">کلید مینیاتوری تک فاز25 آمپر تیپ C (6 KA) </t>
  </si>
  <si>
    <t xml:space="preserve">کلید مینیاتوری تک فاز32 آمپر تیپ C (6 KA) </t>
  </si>
  <si>
    <t xml:space="preserve">کلید مینیاتوری تک فاز40 آمپر تیپ C (6 KA) </t>
  </si>
  <si>
    <t>کلید مینیاتوری دو فاز06 آمپر تیپ B(6 KA)</t>
  </si>
  <si>
    <t>کلید مینیاتوری دو فاز10 آمپر تیپ B(6 KA)</t>
  </si>
  <si>
    <t xml:space="preserve">کلید مینیاتوری دو فاز16 آمپر تیپ B (6 KA) </t>
  </si>
  <si>
    <t xml:space="preserve">کلید مینیاتوری دو فاز20 آمپر تیپ B (6 KA) </t>
  </si>
  <si>
    <t xml:space="preserve">کلید مینیاتوری دو فاز25 آمپر تیپ B (6 KA) </t>
  </si>
  <si>
    <t xml:space="preserve">کلید مینیاتوری دو فاز32 آمپر تیپ B (6 KA) </t>
  </si>
  <si>
    <t xml:space="preserve">کلید مینیاتوری دو فاز40 آمپر تیپ B (6 KA) </t>
  </si>
  <si>
    <t xml:space="preserve">کلید مینیاتوری دو فاز06 آمپر تیپ C (6 KA) </t>
  </si>
  <si>
    <t xml:space="preserve">کلید مینیاتوری دو فاز10 آمپر تیپ C (6 KA) </t>
  </si>
  <si>
    <t xml:space="preserve">کلید مینیاتوری دو فاز16 آمپر تیپ C (6 KA) </t>
  </si>
  <si>
    <t xml:space="preserve">کلید مینیاتوری دو فاز20 آمپر تیپ C (6 KA) </t>
  </si>
  <si>
    <t xml:space="preserve">کلید مینیاتوری دو فاز25 آمپر تیپ C (6 KA) </t>
  </si>
  <si>
    <t xml:space="preserve">کلید مینیاتوری دو فاز32 آمپر تیپ C (6 KA) </t>
  </si>
  <si>
    <t xml:space="preserve">کلید مینیاتوری دو فاز40 آمپر تیپ C (6 KA) </t>
  </si>
  <si>
    <t>کلید مینیاتوری سه فاز06 آمپر تیپ B(6 KA)</t>
  </si>
  <si>
    <t>کلید مینیاتوری سه فاز10 آمپر تیپ B(6 KA)</t>
  </si>
  <si>
    <t xml:space="preserve">کلید مینیاتوری سه فاز16 آمپر تیپ B (6 KA) </t>
  </si>
  <si>
    <t xml:space="preserve">کلید مینیاتوری سه فاز20 آمپر تیپ B (6 KA) </t>
  </si>
  <si>
    <t xml:space="preserve">کلید مینیاتوری سه فاز25 آمپر تیپ B (6 KA) </t>
  </si>
  <si>
    <t xml:space="preserve">کلید مینیاتوری سه فاز32 آمپر تیپ B (6 KA) </t>
  </si>
  <si>
    <t xml:space="preserve">کلید مینیاتوری سه فاز40 آمپر تیپ B (6 KA) </t>
  </si>
  <si>
    <t xml:space="preserve">کلید مینیاتوری سه فاز06 آمپر تیپ C (6 KA) </t>
  </si>
  <si>
    <t xml:space="preserve">کلید مینیاتوری سه فاز10 آمپر تیپ C (6 KA) </t>
  </si>
  <si>
    <t xml:space="preserve">کلید مینیاتوری سه فاز16 آمپر تیپ C (6 KA) </t>
  </si>
  <si>
    <t xml:space="preserve">کلید مینیاتوری سه فاز20 آمپر تیپ C (6 KA) </t>
  </si>
  <si>
    <t xml:space="preserve">کلید مینیاتوری سه فاز25 آمپر تیپ C (6 KA) </t>
  </si>
  <si>
    <t xml:space="preserve">کلید مینیاتوری سه فاز32 آمپر تیپ C (6 KA) </t>
  </si>
  <si>
    <t xml:space="preserve">کلید مینیاتوری سه فاز40 آمپر تیپ C (6 KA) </t>
  </si>
  <si>
    <t>کلید مینیاتوری تک فاز+نول06 آمپر تیپ B(6 KA)</t>
  </si>
  <si>
    <t>کلید مینیاتوری تک فاز+نول10 آمپر تیپ B(6 KA)</t>
  </si>
  <si>
    <t xml:space="preserve">کلید مینیاتوری تک فاز+نول16 آمپر تیپ B (6 KA) </t>
  </si>
  <si>
    <t xml:space="preserve">کلید مینیاتوری تک فاز+نول20 آمپر تیپ B (6 KA) </t>
  </si>
  <si>
    <t xml:space="preserve">کلید مینیاتوری تک فاز+نول25 آمپر تیپ B (6 KA) </t>
  </si>
  <si>
    <t xml:space="preserve">کلید مینیاتوری تک فاز+نول32 آمپر تیپ B (6 KA) </t>
  </si>
  <si>
    <t xml:space="preserve">کلید مینیاتوری تک فاز+نول40 آمپر تیپ B (6 KA) </t>
  </si>
  <si>
    <t xml:space="preserve">کلید مینیاتوری تک فاز+نول06 آمپر تیپ C (6 KA) </t>
  </si>
  <si>
    <t xml:space="preserve">کلید مینیاتوری تک فاز+نول10 آمپر تیپ C (6 KA) </t>
  </si>
  <si>
    <t xml:space="preserve">کلید مینیاتوری تک فاز+نول16 آمپر تیپ C (6 KA) </t>
  </si>
  <si>
    <t xml:space="preserve">کلید مینیاتوری تک فاز+نول20 آمپر تیپ C (6 KA) </t>
  </si>
  <si>
    <t xml:space="preserve">کلید مینیاتوری تک فاز+نول25 آمپر تیپ C (6 KA) </t>
  </si>
  <si>
    <t xml:space="preserve">کلید مینیاتوری تک فاز+نول32 آمپر تیپ C (6 KA) </t>
  </si>
  <si>
    <t xml:space="preserve">کلید مینیاتوری تک فاز+نول40 آمپر تیپ C (6 KA) </t>
  </si>
  <si>
    <t>کلید مینیاتوری سه فاز +نول 06 آمپر تیپ B(6 KA)</t>
  </si>
  <si>
    <t>کلید مینیاتوری سه فاز +نول 10 آمپر تیپ B(6 KA)</t>
  </si>
  <si>
    <t xml:space="preserve">کلید مینیاتوری سه فاز +نول 16 آمپر تیپ B (6 KA) </t>
  </si>
  <si>
    <t xml:space="preserve">کلید مینیاتوری سه فاز +نول 20 آمپر تیپ B (6 KA) </t>
  </si>
  <si>
    <t xml:space="preserve">کلید مینیاتوری سه فاز +نول 25 آمپر تیپ B (6 KA) </t>
  </si>
  <si>
    <t xml:space="preserve">کلید مینیاتوری سه فاز +نول 32 آمپر تیپ B (6 KA) </t>
  </si>
  <si>
    <t xml:space="preserve">کلید مینیاتوری سه فاز +نول 40 آمپر تیپ B (6 KA) </t>
  </si>
  <si>
    <t xml:space="preserve">کلید مینیاتوری سه فاز +نول 06 آمپر تیپ C (6 KA) </t>
  </si>
  <si>
    <t xml:space="preserve">کلید مینیاتوری سه فاز +نول 10 آمپر تیپ C (6 KA) </t>
  </si>
  <si>
    <t xml:space="preserve">کلید مینیاتوری سه فاز +نول 16 آمپر تیپ C (6 KA) </t>
  </si>
  <si>
    <t xml:space="preserve">کلید مینیاتوری سه فاز +نول 20 آمپر تیپ C (6 KA) </t>
  </si>
  <si>
    <t xml:space="preserve">کلید مینیاتوری سه فاز +نول 25 آمپر تیپ C (6 KA) </t>
  </si>
  <si>
    <t xml:space="preserve">کلید مینیاتوری سه فاز +نول 32 آمپر تیپ C (6 KA) </t>
  </si>
  <si>
    <t xml:space="preserve">کلید مینیاتوری سه فاز +نول 40 آمپر تیپ C (6 KA) </t>
  </si>
  <si>
    <t xml:space="preserve">کلید مینیاتوری تک فاز 06 آمپر تیپB  (4.5 KA) </t>
  </si>
  <si>
    <t xml:space="preserve">کلید مینیاتوری تک فاز 10 آمپر تیپB  (4.5 KA) </t>
  </si>
  <si>
    <t xml:space="preserve">کلید مینیاتوری تک فاز 16 آمپر تیپB  (4.5 KA) </t>
  </si>
  <si>
    <t xml:space="preserve">کلید مینیاتوری تک فاز 20 آمپر تیپB  (4.5 KA) </t>
  </si>
  <si>
    <t xml:space="preserve">کلید مینیاتوری تک فاز 25 آمپر تیپB  (4.5 KA) </t>
  </si>
  <si>
    <t xml:space="preserve">کلید مینیاتوری تک فاز 32 آمپر تیپB  (4.5 KA) </t>
  </si>
  <si>
    <t xml:space="preserve">کلید مینیاتوری تک فاز 02 آمپر تیپC  (4.5 KA) </t>
  </si>
  <si>
    <t xml:space="preserve">کلید مینیاتوری تک فاز 04 آمپر تیپC  (4.5 KA) </t>
  </si>
  <si>
    <t xml:space="preserve">کلید مینیاتوری تک فاز 06 آمپر تیپC  (4.5 KA) </t>
  </si>
  <si>
    <t xml:space="preserve">کلید مینیاتوری تک فاز 10 آمپر تیپC  (4.5 KA) </t>
  </si>
  <si>
    <t xml:space="preserve">کلید مینیاتوری تک فاز 16 آمپر تیپC  (4.5 KA) </t>
  </si>
  <si>
    <t xml:space="preserve">کلید مینیاتوری تک فاز 20 آمپر تیپC  (4.5 KA) </t>
  </si>
  <si>
    <t xml:space="preserve">کلید مینیاتوری تک فاز 25 آمپر تیپC  (4.5 KA) </t>
  </si>
  <si>
    <t xml:space="preserve">کلید مینیاتوری تک فاز 32 آمپر تیپC  (4.5 KA) </t>
  </si>
  <si>
    <t xml:space="preserve">کلید مینیاتوری تک فاز 40 آمپر تیپC  (4.5 KA) </t>
  </si>
  <si>
    <t xml:space="preserve">کلید مینیاتوری سه فاز 25 آمپر تیپB  (4.5 KA) </t>
  </si>
  <si>
    <t xml:space="preserve">کلید مینیاتوری سه فاز 32 آمپر تیپB  (4.5 KA) </t>
  </si>
  <si>
    <t xml:space="preserve">کلید مینیاتوری سه فاز 02 آمپر تیپC  (4.5 KA) </t>
  </si>
  <si>
    <t xml:space="preserve">کلید مینیاتوری سه فاز 04 آمپر تیپC  (4.5 KA) </t>
  </si>
  <si>
    <t xml:space="preserve">کلید مینیاتوری سه فاز 06 آمپر تیپC  (4.5 KA) </t>
  </si>
  <si>
    <t xml:space="preserve">کلید مینیاتوری سه فاز 10 آمپر تیپC  (4.5 KA) </t>
  </si>
  <si>
    <t xml:space="preserve">کلید مینیاتوری سه فاز 16 آمپر تیپC  (4.5 KA) </t>
  </si>
  <si>
    <t xml:space="preserve">کلید مینیاتوری سه فاز 20 آمپر تیپC  (4.5 KA) </t>
  </si>
  <si>
    <t xml:space="preserve">کلید مینیاتوری سه فاز 25 آمپر تیپC  (4.5 KA) </t>
  </si>
  <si>
    <t xml:space="preserve">کلید مینیاتوری سه فاز 32 آمپر تیپC  (4.5 KA) </t>
  </si>
  <si>
    <t xml:space="preserve">کلید مینیاتوری سه فاز 40 آمپر تیپC  (4.5 KA) </t>
  </si>
  <si>
    <t>محافظ جان  TFC  تک فاز16 آمپر -(30mA)</t>
  </si>
  <si>
    <t>محافظ جان TFC  تک فاز25 آمپر -(30mA)</t>
  </si>
  <si>
    <t>محافظ جان TFC  تک فاز32 آمپر -(30mA)</t>
  </si>
  <si>
    <t>محافظ جان TFC  تک فاز40 آمپر -(30mA)</t>
  </si>
  <si>
    <t>محافظ جان TFC  تک فاز50 آمپر -(30mA)</t>
  </si>
  <si>
    <t>محافظ جان TFC  تک فاز63 آمپر -(30mA)</t>
  </si>
  <si>
    <t>محافظ جان TFC  سه فاز16 آمپر -(30mA)</t>
  </si>
  <si>
    <t>محافظ جان TFC  سه فاز25 آمپر -(30mA)</t>
  </si>
  <si>
    <t>محافظ جان TFC  سه فاز32 آمپر -(30mA)</t>
  </si>
  <si>
    <t>محافظ جان TFC  سه فاز40 آمپر -(30mA)</t>
  </si>
  <si>
    <t>محافظ جان TFC  سه فاز50 آمپر -(30mA)</t>
  </si>
  <si>
    <t>محافظ جان TFC  سه فاز63 آمپر -(30mA)</t>
  </si>
  <si>
    <t>محافظ جان AEG  تک فاز32 آمپر -(30mA)</t>
  </si>
  <si>
    <t>محافظ جانAEG تک فاز 25 آمپر-(30mA)</t>
  </si>
  <si>
    <t>محافظ جان AEG  تک فاز40 آمپر -(30mA)</t>
  </si>
  <si>
    <t>محافظ جان AEG  تک فاز25 آمپر -(30mA)-(10KA)</t>
  </si>
  <si>
    <t>محافظ جان AEG  تک فاز32 آمپر -(30mA)-(10KA)</t>
  </si>
  <si>
    <t>بازرگانی الکترو صنعت اوپال</t>
  </si>
  <si>
    <t xml:space="preserve">تهران - لاله زار نو (شمالی) کوچه زواریان پلاک 13 </t>
  </si>
  <si>
    <t>021-33934175-76</t>
  </si>
  <si>
    <t>بازرگانی مدار صفر درجه شمال(کالای برق ترابی)</t>
  </si>
  <si>
    <t>کرمان ولتاژ الکتریک</t>
  </si>
  <si>
    <t>جبال بارزی</t>
  </si>
  <si>
    <t>034-33386027</t>
  </si>
  <si>
    <t>کرمان - شهرک صنعتی 3 - بلوار شقایق - شقایق 18</t>
  </si>
  <si>
    <t>شیراز - خیابان قاآنی شمالی 5</t>
  </si>
  <si>
    <t>شیراز - خیابان قاآنی شمالی 6</t>
  </si>
  <si>
    <t>011-3360000</t>
  </si>
  <si>
    <t>ساری -کمربندی جنوبی، بلوار سلیم بهرامی، نبش سلیم بهرام 17</t>
  </si>
  <si>
    <t xml:space="preserve">کلاته </t>
  </si>
  <si>
    <t>شرکت تجهیز نور صنایع روشنایی امین</t>
  </si>
  <si>
    <t>اصفهان - ابتدای اتوبان ذوب آهن ،خیابان نیروگاه ، منطقه صنعتی اسلام آباد،کوی بافندگان،فرعی توحید</t>
  </si>
  <si>
    <t>09134490061</t>
  </si>
  <si>
    <t xml:space="preserve">کالای برق کیان آرتین </t>
  </si>
  <si>
    <t>09136064795</t>
  </si>
  <si>
    <t>هاشمی</t>
  </si>
  <si>
    <t>شهرکرد-خیابان بهارستان -نبش کوچه 5</t>
  </si>
  <si>
    <t>کالای برق داروئی</t>
  </si>
  <si>
    <t>داروئی</t>
  </si>
  <si>
    <t>اهواز حدفاصل خيابان دکتر شريعتي و مسلم خ طالقاني پلاک 229</t>
  </si>
  <si>
    <t>09163236335</t>
  </si>
  <si>
    <t>تسلا الکتریک سپاهان</t>
  </si>
  <si>
    <t>اصفهان - خیابان فردوسی - پاساژ برق طبقه همکف - واحد 11</t>
  </si>
  <si>
    <t>09132001260</t>
  </si>
  <si>
    <t>باربد نیرو صنعت</t>
  </si>
  <si>
    <t>شرکت فراگام صنعت شرق</t>
  </si>
  <si>
    <t>مسعودی</t>
  </si>
  <si>
    <t xml:space="preserve">بجنورد-شهرک صنعتی بیدک-صنعت3-شرکت فراگام صنعت شرق </t>
  </si>
  <si>
    <t>5832720552</t>
  </si>
  <si>
    <t>021-33909844</t>
  </si>
  <si>
    <t xml:space="preserve">     تهران میدان امام خمینی-خیابان فردوسی جنوبی-کوچه باربد-پلاک91-واحد7</t>
  </si>
  <si>
    <t>کرمان-بلوار ابومهدي مهندس - شهرک صنعتي شماره 3 - خيابان صنعت</t>
  </si>
  <si>
    <t>رضایی</t>
  </si>
  <si>
    <t>بازرگانی آرمان الکتریک</t>
  </si>
  <si>
    <t>09131990204</t>
  </si>
  <si>
    <t>رحمان همتی</t>
  </si>
  <si>
    <t>تبریز-خیابان فردوسی-روبروی سه راه امین</t>
  </si>
  <si>
    <t>1370889089</t>
  </si>
  <si>
    <t>09222327414</t>
  </si>
  <si>
    <t>مبناهوشمندصنعت</t>
  </si>
  <si>
    <t>خانم محمدی</t>
  </si>
  <si>
    <t>05138553163</t>
  </si>
  <si>
    <t>تهران-حکیمیه-بلوارشهیدبرادران باباییان-کوچه لاله 1-پلاک24</t>
  </si>
  <si>
    <t>411569116356</t>
  </si>
  <si>
    <t>پارت الکتریک همتی</t>
  </si>
  <si>
    <t>0386410224</t>
  </si>
  <si>
    <t>علی دهقانی احمد آباد</t>
  </si>
  <si>
    <t>امین فراهانی</t>
  </si>
  <si>
    <t>ایمان فراهانی</t>
  </si>
  <si>
    <t>کالای برق فراهانی</t>
  </si>
  <si>
    <t>اراک خيابان قائم مقام بين چهار راه ادبجو و لعلي نبش کوچه رضوان</t>
  </si>
  <si>
    <t>0520251652</t>
  </si>
  <si>
    <t>09189619221</t>
  </si>
  <si>
    <t>الکتریکی عباسی</t>
  </si>
  <si>
    <t>عباسی</t>
  </si>
  <si>
    <t>اصفهان-سه راه صمدیه-20متر بعد از آتشنشانی-ساختمان میلاد-فروشگاه عباسی</t>
  </si>
  <si>
    <t>031-22270346</t>
  </si>
  <si>
    <t>237058738</t>
  </si>
  <si>
    <t>الکتروسنتر</t>
  </si>
  <si>
    <t>رزوینی</t>
  </si>
  <si>
    <t>تهران-خیابان لاله زارجنوبی-پاساژ عزیزی-طبقه اول -واحد 102</t>
  </si>
  <si>
    <t>021-33942795</t>
  </si>
  <si>
    <t>0888992955</t>
  </si>
  <si>
    <t>الکتروسهیل -قائمی</t>
  </si>
  <si>
    <t>اراک-خیابان مشهد-فلکه­ی قرآن(میدان علی­ابن­ابیطالب) روبروی کوچه ی طالقانی</t>
  </si>
  <si>
    <t>DE91 C50</t>
  </si>
  <si>
    <t xml:space="preserve">کلید مینیاتوری تک فاز50 آمپر تیپ C (6 KA) </t>
  </si>
  <si>
    <t>DE91 B50</t>
  </si>
  <si>
    <t>DE91 B63</t>
  </si>
  <si>
    <t xml:space="preserve">کلید مینیاتوری تک فاز50 آمپر تیپ B (6 KA) </t>
  </si>
  <si>
    <t xml:space="preserve">کلید مینیاتوری تک فاز63 آمپر تیپ B (6 KA) </t>
  </si>
  <si>
    <t>DE91 C63</t>
  </si>
  <si>
    <t xml:space="preserve">کلید مینیاتوری تک فاز63 آمپر تیپ C (6 KA) </t>
  </si>
  <si>
    <t>DE93 C50N</t>
  </si>
  <si>
    <t>DE93 C63N</t>
  </si>
  <si>
    <t xml:space="preserve">کلید مینیاتوری سه فاز +نول 50 آمپر تیپ C (6 KA) </t>
  </si>
  <si>
    <t xml:space="preserve">کلید مینیاتوری سه فاز +نول 63 آمپر تیپ C (6 KA) </t>
  </si>
  <si>
    <t>DE93 C50</t>
  </si>
  <si>
    <t>DE93 C63</t>
  </si>
  <si>
    <t xml:space="preserve">کلید مینیاتوری سه فاز50 آمپر تیپ C (6 KA) </t>
  </si>
  <si>
    <t xml:space="preserve">کلید مینیاتوری سه فاز63 آمپر تیپ C (6 KA) </t>
  </si>
  <si>
    <t>DE93 B50N</t>
  </si>
  <si>
    <t>DE93 B63N</t>
  </si>
  <si>
    <t xml:space="preserve">کلید مینیاتوری سه فاز +نول 50 آمپر تیپ B (6 KA) </t>
  </si>
  <si>
    <t xml:space="preserve">کلید مینیاتوری سه فاز +نول 63 آمپر تیپ B (6 KA) </t>
  </si>
  <si>
    <t xml:space="preserve">کلید مینیاتوری تک فاز+نول50 آمپر تیپ C (6 KA) </t>
  </si>
  <si>
    <t xml:space="preserve">کلید مینیاتوری تک فاز+نول63 آمپر تیپ C (6 KA) </t>
  </si>
  <si>
    <t>DE91 C50N</t>
  </si>
  <si>
    <t>DE91 C63N</t>
  </si>
  <si>
    <t>DE91 B50N</t>
  </si>
  <si>
    <t>DE91 B63N</t>
  </si>
  <si>
    <t xml:space="preserve">کلید مینیاتوری تک فاز+نول50 آمپر تیپ B (6 KA) </t>
  </si>
  <si>
    <t xml:space="preserve">کلید مینیاتوری تک فاز+نول63 آمپر تیپ B (6 KA) </t>
  </si>
  <si>
    <t xml:space="preserve">کلید مینیاتوری سه فاز50 آمپر تیپ B (6 KA) </t>
  </si>
  <si>
    <t xml:space="preserve">کلید مینیاتوری سه فاز63 آمپر تیپ B (6 KA) </t>
  </si>
  <si>
    <t>DE93 B63</t>
  </si>
  <si>
    <t>DE92 B50</t>
  </si>
  <si>
    <t>DE92 B63</t>
  </si>
  <si>
    <t>DE92 C50</t>
  </si>
  <si>
    <t>DE92 C63</t>
  </si>
  <si>
    <t xml:space="preserve">کلید مینیاتوری دو فاز50 آمپر تیپ B (6 KA) </t>
  </si>
  <si>
    <t xml:space="preserve">کلید مینیاتوری دو فاز63 آمپر تیپ B (6 KA) </t>
  </si>
  <si>
    <t xml:space="preserve">کلید مینیاتوری دو فاز50 آمپر تیپ C (6 KA) </t>
  </si>
  <si>
    <t xml:space="preserve">کلید مینیاتوری دو فاز63 آمپر تیپ C (6 KA) </t>
  </si>
  <si>
    <t>DE93 B50</t>
  </si>
  <si>
    <t>شرکت نیرو توان آر ای دو</t>
  </si>
  <si>
    <t>قم.بلوار صدوقی.20 متری امام حسین.بین تقاطع پاسداران و کوچه 10.پلاک 308</t>
  </si>
  <si>
    <t>09127538714</t>
  </si>
  <si>
    <t>خانه برق پردیس آریا</t>
  </si>
  <si>
    <t>-</t>
  </si>
  <si>
    <t>کد جدید کالا</t>
  </si>
  <si>
    <t>447330247</t>
  </si>
  <si>
    <t>بازرگانی مشائی</t>
  </si>
  <si>
    <t>محمد ابراهیم زاده</t>
  </si>
  <si>
    <t>نجار</t>
  </si>
  <si>
    <t>طیف نور2</t>
  </si>
  <si>
    <t>09379494681</t>
  </si>
  <si>
    <t>بندرعباس خیابان مصطفی خمینی مجتمع تجاری فانووس تقاطع روبروی قصر گل</t>
  </si>
  <si>
    <t>امین الکتریک</t>
  </si>
  <si>
    <t>رادپخش</t>
  </si>
  <si>
    <r>
      <t xml:space="preserve">1-   نتیجه امکان سنجی و ارسال به این شرح میباشد :   سرپرست برنامه ریزی                               </t>
    </r>
    <r>
      <rPr>
        <b/>
        <sz val="9"/>
        <color theme="1"/>
        <rFont val="Times New Roman"/>
        <family val="1"/>
      </rPr>
      <t xml:space="preserve"> </t>
    </r>
    <r>
      <rPr>
        <b/>
        <sz val="9"/>
        <color theme="1"/>
        <rFont val="B Nazanin"/>
        <charset val="178"/>
      </rPr>
      <t>تاریخ :</t>
    </r>
    <r>
      <rPr>
        <b/>
        <sz val="9"/>
        <color theme="1"/>
        <rFont val="Times New Roman"/>
        <family val="1"/>
      </rPr>
      <t xml:space="preserve">                             </t>
    </r>
    <r>
      <rPr>
        <b/>
        <sz val="9"/>
        <color theme="1"/>
        <rFont val="B Nazanin"/>
        <charset val="178"/>
      </rPr>
      <t xml:space="preserve"> </t>
    </r>
    <r>
      <rPr>
        <b/>
        <sz val="9"/>
        <color theme="1"/>
        <rFont val="Times New Roman"/>
        <family val="1"/>
      </rPr>
      <t xml:space="preserve"> OK                      NOT OK  </t>
    </r>
  </si>
  <si>
    <t>چهارشنبه 29 مرداد 1404</t>
  </si>
  <si>
    <t>مهرداد مصلح - ولیعصر</t>
  </si>
  <si>
    <t>شیراز-خیابان قاآنی شمالی روبری خیابان منوچهری</t>
  </si>
  <si>
    <t>132556</t>
  </si>
  <si>
    <t>2300803992</t>
  </si>
  <si>
    <t>07191004455</t>
  </si>
  <si>
    <t>کد محصول</t>
  </si>
  <si>
    <t>نام محصول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</si>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</sst>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7"/>
      <name val="B Titr"/>
      <charset val="178"/>
    </font>
    <font>
      <b/>
      <sz val="8"/>
      <color rgb="FF080000"/>
      <name val="Tahoma"/>
      <family val="2"/>
    </font>
    <font>
      <b/>
      <sz val="8"/>
      <color theme="1"/>
      <name val="Tahoma"/>
      <family val="2"/>
    </font>
    <font>
      <b/>
      <sz val="8"/>
      <name val="Tahoma"/>
      <family val="2"/>
    </font>
    <font>
      <sz val="10"/>
      <name val="B Titr"/>
      <charset val="178"/>
    </font>
    <font>
      <b/>
      <sz val="12"/>
      <color theme="1"/>
      <name val="B Titr"/>
      <charset val="178"/>
    </font>
    <font>
      <b/>
      <sz val="10"/>
      <color theme="1"/>
      <name val="B Nazanin"/>
      <charset val="178"/>
    </font>
    <font>
      <b/>
      <sz val="8"/>
      <color theme="1"/>
      <name val="B Titr"/>
      <charset val="178"/>
    </font>
    <font>
      <b/>
      <sz val="8"/>
      <color rgb="FF000000"/>
      <name val="B Titr"/>
      <charset val="178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B Nazanin"/>
      <charset val="178"/>
    </font>
    <font>
      <sz val="12"/>
      <name val="Times New Roman"/>
      <family val="1"/>
    </font>
    <font>
      <sz val="12"/>
      <color theme="1"/>
      <name val="B Compset"/>
      <charset val="178"/>
    </font>
    <font>
      <b/>
      <sz val="11"/>
      <color rgb="FF3F3F3F"/>
      <name val="Calibri"/>
      <family val="2"/>
      <scheme val="minor"/>
    </font>
    <font>
      <b/>
      <sz val="9"/>
      <color theme="1"/>
      <name val="B Nazanin"/>
      <charset val="178"/>
    </font>
    <font>
      <b/>
      <sz val="9"/>
      <color theme="1"/>
      <name val="Times New Roman"/>
      <family val="1"/>
    </font>
    <font>
      <b/>
      <sz val="9"/>
      <color theme="1"/>
      <name val="B Mitra"/>
      <charset val="178"/>
    </font>
    <font>
      <sz val="9"/>
      <color theme="1"/>
      <name val="B Nazanin"/>
      <charset val="178"/>
    </font>
    <font>
      <b/>
      <sz val="10"/>
      <color theme="1"/>
      <name val="B Titr"/>
      <charset val="178"/>
    </font>
    <font>
      <b/>
      <sz val="10"/>
      <color theme="1"/>
      <name val="B Mitra"/>
      <charset val="178"/>
    </font>
    <font>
      <b/>
      <sz val="8"/>
      <color theme="1"/>
      <name val="B Mitra"/>
      <charset val="178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B Titr"/>
      <charset val="178"/>
    </font>
    <font>
      <sz val="8"/>
      <color theme="1"/>
      <name val="B Nazanin"/>
      <charset val="178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6"/>
      <color theme="1"/>
      <name val="B Nazanin"/>
      <charset val="178"/>
    </font>
    <font>
      <sz val="6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2"/>
      <color rgb="FF000000"/>
      <name val="B Compset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C5C5C5"/>
        <bgColor indexed="64"/>
      </patternFill>
    </fill>
    <fill>
      <patternFill patternType="solid">
        <fgColor rgb="FFC0C0C0"/>
        <bgColor indexed="64"/>
      </patternFill>
    </fill>
  </fills>
  <borders count="10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theme="0"/>
      </bottom>
      <diagonal/>
    </border>
    <border>
      <left/>
      <right/>
      <top style="medium">
        <color indexed="64"/>
      </top>
      <bottom style="double">
        <color theme="0"/>
      </bottom>
      <diagonal/>
    </border>
    <border>
      <left/>
      <right style="double">
        <color indexed="64"/>
      </right>
      <top style="medium">
        <color indexed="64"/>
      </top>
      <bottom style="double">
        <color theme="0"/>
      </bottom>
      <diagonal/>
    </border>
    <border>
      <left style="double">
        <color indexed="64"/>
      </left>
      <right/>
      <top style="double">
        <color theme="0"/>
      </top>
      <bottom/>
      <diagonal/>
    </border>
    <border>
      <left/>
      <right/>
      <top style="double">
        <color theme="0"/>
      </top>
      <bottom/>
      <diagonal/>
    </border>
    <border>
      <left/>
      <right style="double">
        <color indexed="64"/>
      </right>
      <top style="double">
        <color theme="0"/>
      </top>
      <bottom/>
      <diagonal/>
    </border>
    <border>
      <left style="double">
        <color indexed="64"/>
      </left>
      <right/>
      <top/>
      <bottom style="double">
        <color theme="0"/>
      </bottom>
      <diagonal/>
    </border>
    <border>
      <left/>
      <right/>
      <top/>
      <bottom style="double">
        <color theme="0"/>
      </bottom>
      <diagonal/>
    </border>
    <border>
      <left/>
      <right style="double">
        <color indexed="64"/>
      </right>
      <top/>
      <bottom style="double">
        <color theme="0"/>
      </bottom>
      <diagonal/>
    </border>
    <border>
      <left/>
      <right/>
      <top style="double">
        <color indexed="64"/>
      </top>
      <bottom/>
      <diagonal/>
    </border>
    <border>
      <left style="double">
        <color theme="0"/>
      </left>
      <right style="double">
        <color theme="0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theme="0"/>
      </bottom>
      <diagonal/>
    </border>
    <border>
      <left/>
      <right/>
      <top style="double">
        <color indexed="64"/>
      </top>
      <bottom style="double">
        <color theme="0"/>
      </bottom>
      <diagonal/>
    </border>
    <border>
      <left/>
      <right style="double">
        <color indexed="64"/>
      </right>
      <top style="double">
        <color indexed="64"/>
      </top>
      <bottom style="double">
        <color theme="0"/>
      </bottom>
      <diagonal/>
    </border>
    <border>
      <left style="thin">
        <color theme="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theme="0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theme="0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theme="0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theme="0"/>
      </right>
      <top style="double">
        <color theme="0"/>
      </top>
      <bottom style="medium">
        <color theme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medium">
        <color theme="1"/>
      </bottom>
      <diagonal/>
    </border>
    <border>
      <left style="double">
        <color theme="0"/>
      </left>
      <right style="double">
        <color indexed="64"/>
      </right>
      <top style="double">
        <color theme="0"/>
      </top>
      <bottom style="medium">
        <color theme="1"/>
      </bottom>
      <diagonal/>
    </border>
    <border>
      <left style="double">
        <color theme="0"/>
      </left>
      <right/>
      <top style="double">
        <color theme="0"/>
      </top>
      <bottom style="medium">
        <color theme="1"/>
      </bottom>
      <diagonal/>
    </border>
    <border>
      <left/>
      <right style="double">
        <color theme="0"/>
      </right>
      <top style="double">
        <color theme="0"/>
      </top>
      <bottom style="medium">
        <color theme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0"/>
    <xf numFmtId="0" fontId="16" fillId="5" borderId="34" applyAlignment="0"/>
    <xf numFmtId="0" fontId="1" fillId="0" borderId="0" applyAlignment="0"/>
  </cellStyleXfs>
  <cellXfs count="236">
    <xf numFmtId="0" fontId="0" fillId="0" borderId="0" xfId="0"/>
    <xf numFmtId="49" fontId="2" fillId="2" borderId="1" xfId="0" applyNumberFormat="1" applyFont="1" applyFill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4" fillId="4" borderId="9" xfId="0" applyNumberFormat="1" applyFont="1" applyFill="1" applyBorder="1" applyAlignment="1">
      <alignment horizontal="center" vertical="center" wrapText="1"/>
    </xf>
    <xf numFmtId="3" fontId="5" fillId="4" borderId="9" xfId="0" applyNumberFormat="1" applyFont="1" applyFill="1" applyBorder="1" applyAlignment="1">
      <alignment horizontal="center" vertical="center" wrapText="1"/>
    </xf>
    <xf numFmtId="3" fontId="4" fillId="4" borderId="12" xfId="0" applyNumberFormat="1" applyFont="1" applyFill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 wrapText="1"/>
    </xf>
    <xf numFmtId="3" fontId="4" fillId="4" borderId="20" xfId="0" applyNumberFormat="1" applyFont="1" applyFill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3" fontId="6" fillId="3" borderId="22" xfId="0" applyNumberFormat="1" applyFont="1" applyFill="1" applyBorder="1" applyAlignment="1">
      <alignment vertical="center"/>
    </xf>
    <xf numFmtId="3" fontId="6" fillId="3" borderId="23" xfId="0" applyNumberFormat="1" applyFont="1" applyFill="1" applyBorder="1" applyAlignment="1">
      <alignment vertical="center"/>
    </xf>
    <xf numFmtId="3" fontId="6" fillId="3" borderId="24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3" fontId="6" fillId="3" borderId="15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 readingOrder="2"/>
    </xf>
    <xf numFmtId="3" fontId="14" fillId="3" borderId="15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3" fontId="6" fillId="3" borderId="30" xfId="0" applyNumberFormat="1" applyFont="1" applyFill="1" applyBorder="1" applyAlignment="1">
      <alignment vertical="center"/>
    </xf>
    <xf numFmtId="3" fontId="6" fillId="3" borderId="32" xfId="0" applyNumberFormat="1" applyFont="1" applyFill="1" applyBorder="1" applyAlignment="1">
      <alignment vertical="center"/>
    </xf>
    <xf numFmtId="3" fontId="6" fillId="3" borderId="26" xfId="0" applyNumberFormat="1" applyFont="1" applyFill="1" applyBorder="1" applyAlignment="1">
      <alignment vertical="center"/>
    </xf>
    <xf numFmtId="3" fontId="14" fillId="3" borderId="0" xfId="0" applyNumberFormat="1" applyFont="1" applyFill="1" applyAlignment="1">
      <alignment vertical="center"/>
    </xf>
    <xf numFmtId="3" fontId="14" fillId="3" borderId="31" xfId="0" applyNumberFormat="1" applyFont="1" applyFill="1" applyBorder="1" applyAlignment="1">
      <alignment vertical="center"/>
    </xf>
    <xf numFmtId="3" fontId="14" fillId="3" borderId="32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15" fillId="0" borderId="25" xfId="0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 readingOrder="2"/>
    </xf>
    <xf numFmtId="0" fontId="9" fillId="0" borderId="36" xfId="0" applyFont="1" applyBorder="1" applyAlignment="1">
      <alignment horizontal="center" vertical="center" wrapText="1" readingOrder="2"/>
    </xf>
    <xf numFmtId="0" fontId="10" fillId="0" borderId="36" xfId="0" applyFont="1" applyBorder="1" applyAlignment="1">
      <alignment horizontal="center" vertical="center" wrapText="1" readingOrder="2"/>
    </xf>
    <xf numFmtId="0" fontId="20" fillId="0" borderId="25" xfId="0" applyFont="1" applyBorder="1" applyAlignment="1">
      <alignment horizontal="center" vertical="center" wrapText="1" readingOrder="2"/>
    </xf>
    <xf numFmtId="0" fontId="29" fillId="0" borderId="25" xfId="0" applyFont="1" applyBorder="1" applyAlignment="1">
      <alignment horizontal="center" vertical="center" wrapText="1" readingOrder="2"/>
    </xf>
    <xf numFmtId="0" fontId="11" fillId="0" borderId="25" xfId="0" applyFont="1" applyBorder="1" applyAlignment="1">
      <alignment horizontal="center" vertical="center" wrapText="1" readingOrder="2"/>
    </xf>
    <xf numFmtId="0" fontId="22" fillId="0" borderId="63" xfId="0" applyFont="1" applyBorder="1" applyAlignment="1">
      <alignment horizontal="center" vertical="center" wrapText="1" readingOrder="2"/>
    </xf>
    <xf numFmtId="0" fontId="22" fillId="0" borderId="63" xfId="0" applyFont="1" applyBorder="1" applyAlignment="1">
      <alignment vertical="center" wrapText="1" readingOrder="2"/>
    </xf>
    <xf numFmtId="0" fontId="17" fillId="0" borderId="70" xfId="0" applyFont="1" applyBorder="1" applyAlignment="1">
      <alignment wrapText="1" readingOrder="2"/>
    </xf>
    <xf numFmtId="0" fontId="22" fillId="0" borderId="75" xfId="0" applyFont="1" applyBorder="1" applyAlignment="1">
      <alignment horizontal="right" vertical="center" wrapText="1" readingOrder="2"/>
    </xf>
    <xf numFmtId="0" fontId="11" fillId="6" borderId="38" xfId="0" applyFont="1" applyFill="1" applyBorder="1" applyAlignment="1">
      <alignment horizontal="center" vertical="center" wrapText="1" readingOrder="2"/>
    </xf>
    <xf numFmtId="0" fontId="20" fillId="0" borderId="38" xfId="0" applyFont="1" applyBorder="1" applyAlignment="1">
      <alignment horizontal="center" vertical="center" wrapText="1" readingOrder="2"/>
    </xf>
    <xf numFmtId="0" fontId="9" fillId="0" borderId="72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wrapText="1"/>
    </xf>
    <xf numFmtId="1" fontId="15" fillId="0" borderId="25" xfId="0" applyNumberFormat="1" applyFont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 readingOrder="2"/>
    </xf>
    <xf numFmtId="0" fontId="17" fillId="0" borderId="90" xfId="0" applyFont="1" applyBorder="1" applyAlignment="1">
      <alignment horizontal="right" wrapText="1" readingOrder="2"/>
    </xf>
    <xf numFmtId="0" fontId="17" fillId="0" borderId="91" xfId="0" applyFont="1" applyBorder="1" applyAlignment="1">
      <alignment horizontal="right" wrapText="1" readingOrder="2"/>
    </xf>
    <xf numFmtId="0" fontId="12" fillId="0" borderId="37" xfId="0" applyFont="1" applyBorder="1" applyAlignment="1">
      <alignment horizontal="center" vertical="center" wrapText="1" readingOrder="2"/>
    </xf>
    <xf numFmtId="0" fontId="8" fillId="0" borderId="47" xfId="0" applyFont="1" applyBorder="1" applyAlignment="1">
      <alignment horizontal="center" vertical="center" wrapText="1" readingOrder="2"/>
    </xf>
    <xf numFmtId="0" fontId="22" fillId="0" borderId="25" xfId="0" applyFont="1" applyBorder="1" applyAlignment="1">
      <alignment horizontal="center" vertical="center" wrapText="1" readingOrder="2"/>
    </xf>
    <xf numFmtId="49" fontId="4" fillId="0" borderId="30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vertical="center" wrapText="1" readingOrder="2"/>
    </xf>
    <xf numFmtId="0" fontId="17" fillId="0" borderId="86" xfId="0" applyFont="1" applyBorder="1" applyAlignment="1">
      <alignment horizontal="center" vertical="center" wrapText="1" readingOrder="2"/>
    </xf>
    <xf numFmtId="0" fontId="17" fillId="0" borderId="71" xfId="0" applyFont="1" applyBorder="1" applyAlignment="1">
      <alignment horizontal="center" vertical="center" readingOrder="2"/>
    </xf>
    <xf numFmtId="49" fontId="0" fillId="0" borderId="0" xfId="0" applyNumberFormat="1" applyAlignment="1">
      <alignment horizontal="center"/>
    </xf>
    <xf numFmtId="0" fontId="15" fillId="0" borderId="96" xfId="0" applyFont="1" applyBorder="1" applyAlignment="1">
      <alignment horizontal="center" vertical="center"/>
    </xf>
    <xf numFmtId="49" fontId="15" fillId="0" borderId="9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99" xfId="0" applyNumberFormat="1" applyFont="1" applyBorder="1" applyAlignment="1">
      <alignment horizontal="center" vertical="center" wrapText="1"/>
    </xf>
    <xf numFmtId="0" fontId="33" fillId="0" borderId="98" xfId="0" applyFont="1" applyBorder="1" applyAlignment="1">
      <alignment horizontal="center"/>
    </xf>
    <xf numFmtId="1" fontId="33" fillId="0" borderId="98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4" fillId="0" borderId="100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 readingOrder="2"/>
    </xf>
    <xf numFmtId="1" fontId="4" fillId="3" borderId="100" xfId="0" applyNumberFormat="1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5" fillId="0" borderId="101" xfId="0" applyFont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 wrapText="1" readingOrder="2"/>
    </xf>
    <xf numFmtId="0" fontId="22" fillId="4" borderId="25" xfId="0" applyFont="1" applyFill="1" applyBorder="1" applyAlignment="1">
      <alignment horizontal="center" vertical="center" wrapText="1" readingOrder="2"/>
    </xf>
    <xf numFmtId="0" fontId="12" fillId="4" borderId="37" xfId="0" applyFont="1" applyFill="1" applyBorder="1" applyAlignment="1">
      <alignment horizontal="center" vertical="center" wrapText="1" readingOrder="2"/>
    </xf>
    <xf numFmtId="0" fontId="8" fillId="0" borderId="48" xfId="0" applyFont="1" applyBorder="1" applyAlignment="1">
      <alignment horizontal="right" vertical="center" wrapText="1" readingOrder="2"/>
    </xf>
    <xf numFmtId="0" fontId="20" fillId="0" borderId="82" xfId="0" applyFont="1" applyBorder="1" applyAlignment="1">
      <alignment vertical="center" readingOrder="2"/>
    </xf>
    <xf numFmtId="0" fontId="20" fillId="0" borderId="33" xfId="0" applyFont="1" applyBorder="1" applyAlignment="1">
      <alignment vertical="center" readingOrder="2"/>
    </xf>
    <xf numFmtId="0" fontId="15" fillId="0" borderId="9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 readingOrder="2"/>
    </xf>
    <xf numFmtId="0" fontId="9" fillId="0" borderId="48" xfId="0" applyFont="1" applyBorder="1" applyAlignment="1">
      <alignment horizontal="center" vertical="center" wrapText="1" readingOrder="2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 wrapText="1" readingOrder="2"/>
    </xf>
    <xf numFmtId="0" fontId="0" fillId="0" borderId="62" xfId="0" applyBorder="1" applyAlignment="1">
      <alignment horizontal="center"/>
    </xf>
    <xf numFmtId="0" fontId="17" fillId="0" borderId="84" xfId="0" applyFont="1" applyBorder="1" applyAlignment="1">
      <alignment horizontal="center" vertical="center" wrapText="1" readingOrder="2"/>
    </xf>
    <xf numFmtId="0" fontId="17" fillId="0" borderId="74" xfId="0" applyFont="1" applyBorder="1" applyAlignment="1">
      <alignment horizontal="center" vertical="center" wrapText="1" readingOrder="2"/>
    </xf>
    <xf numFmtId="0" fontId="17" fillId="0" borderId="74" xfId="0" applyFont="1" applyBorder="1" applyAlignment="1">
      <alignment horizontal="right" vertical="center" wrapText="1" readingOrder="2"/>
    </xf>
    <xf numFmtId="0" fontId="17" fillId="0" borderId="85" xfId="0" applyFont="1" applyBorder="1" applyAlignment="1">
      <alignment horizontal="right" vertical="center" wrapText="1" readingOrder="2"/>
    </xf>
    <xf numFmtId="0" fontId="17" fillId="0" borderId="89" xfId="0" applyFont="1" applyBorder="1" applyAlignment="1">
      <alignment horizontal="right" wrapText="1" readingOrder="2"/>
    </xf>
    <xf numFmtId="0" fontId="17" fillId="0" borderId="90" xfId="0" applyFont="1" applyBorder="1" applyAlignment="1">
      <alignment horizontal="right" wrapText="1" readingOrder="2"/>
    </xf>
    <xf numFmtId="0" fontId="17" fillId="0" borderId="90" xfId="0" applyFont="1" applyBorder="1" applyAlignment="1">
      <alignment horizontal="center" wrapText="1" readingOrder="2"/>
    </xf>
    <xf numFmtId="0" fontId="9" fillId="0" borderId="37" xfId="0" applyFont="1" applyBorder="1" applyAlignment="1">
      <alignment horizontal="center" vertical="center" wrapText="1" readingOrder="2"/>
    </xf>
    <xf numFmtId="0" fontId="13" fillId="0" borderId="73" xfId="0" applyFont="1" applyBorder="1" applyAlignment="1">
      <alignment horizontal="center" wrapText="1"/>
    </xf>
    <xf numFmtId="0" fontId="13" fillId="0" borderId="86" xfId="0" applyFont="1" applyBorder="1" applyAlignment="1">
      <alignment horizontal="center" wrapText="1"/>
    </xf>
    <xf numFmtId="0" fontId="9" fillId="0" borderId="84" xfId="0" applyFont="1" applyBorder="1" applyAlignment="1">
      <alignment horizontal="center" vertical="center" wrapText="1" readingOrder="2"/>
    </xf>
    <xf numFmtId="0" fontId="9" fillId="0" borderId="74" xfId="0" applyFont="1" applyBorder="1" applyAlignment="1">
      <alignment horizontal="center" vertical="center" wrapText="1" readingOrder="2"/>
    </xf>
    <xf numFmtId="0" fontId="9" fillId="0" borderId="72" xfId="0" applyFont="1" applyBorder="1" applyAlignment="1">
      <alignment horizontal="center" vertical="center" wrapText="1" readingOrder="2"/>
    </xf>
    <xf numFmtId="0" fontId="7" fillId="0" borderId="64" xfId="0" applyFont="1" applyBorder="1" applyAlignment="1">
      <alignment horizontal="center" vertical="top" wrapText="1" readingOrder="2"/>
    </xf>
    <xf numFmtId="0" fontId="7" fillId="0" borderId="66" xfId="0" applyFont="1" applyBorder="1" applyAlignment="1">
      <alignment horizontal="center" vertical="top" wrapText="1" readingOrder="2"/>
    </xf>
    <xf numFmtId="0" fontId="7" fillId="0" borderId="65" xfId="0" applyFont="1" applyBorder="1" applyAlignment="1">
      <alignment horizontal="center" vertical="top" wrapText="1" readingOrder="2"/>
    </xf>
    <xf numFmtId="0" fontId="7" fillId="0" borderId="88" xfId="0" applyFont="1" applyBorder="1" applyAlignment="1">
      <alignment horizontal="center" vertical="top" wrapText="1" readingOrder="2"/>
    </xf>
    <xf numFmtId="0" fontId="7" fillId="0" borderId="0" xfId="0" applyFont="1" applyAlignment="1">
      <alignment horizontal="center" vertical="top" wrapText="1" readingOrder="2"/>
    </xf>
    <xf numFmtId="0" fontId="7" fillId="0" borderId="87" xfId="0" applyFont="1" applyBorder="1" applyAlignment="1">
      <alignment horizontal="center" vertical="top" wrapText="1" readingOrder="2"/>
    </xf>
    <xf numFmtId="0" fontId="7" fillId="0" borderId="94" xfId="0" applyFont="1" applyBorder="1" applyAlignment="1">
      <alignment horizontal="center" vertical="top" wrapText="1" readingOrder="2"/>
    </xf>
    <xf numFmtId="0" fontId="7" fillId="0" borderId="43" xfId="0" applyFont="1" applyBorder="1" applyAlignment="1">
      <alignment horizontal="center" vertical="top" wrapText="1" readingOrder="2"/>
    </xf>
    <xf numFmtId="0" fontId="7" fillId="0" borderId="95" xfId="0" applyFont="1" applyBorder="1" applyAlignment="1">
      <alignment horizontal="center" vertical="top" wrapText="1" readingOrder="2"/>
    </xf>
    <xf numFmtId="0" fontId="22" fillId="0" borderId="75" xfId="0" applyFont="1" applyBorder="1" applyAlignment="1">
      <alignment horizontal="right" vertical="center" wrapText="1" readingOrder="2"/>
    </xf>
    <xf numFmtId="0" fontId="22" fillId="0" borderId="77" xfId="0" applyFont="1" applyBorder="1" applyAlignment="1">
      <alignment horizontal="right" vertical="center" wrapText="1" readingOrder="2"/>
    </xf>
    <xf numFmtId="0" fontId="9" fillId="0" borderId="79" xfId="0" applyFont="1" applyBorder="1" applyAlignment="1">
      <alignment horizontal="center" vertical="center" wrapText="1" readingOrder="2"/>
    </xf>
    <xf numFmtId="0" fontId="9" fillId="0" borderId="80" xfId="0" applyFont="1" applyBorder="1" applyAlignment="1">
      <alignment horizontal="center" vertical="center" wrapText="1" readingOrder="2"/>
    </xf>
    <xf numFmtId="0" fontId="19" fillId="0" borderId="33" xfId="0" applyFont="1" applyBorder="1" applyAlignment="1">
      <alignment horizontal="center" vertical="center" wrapText="1" readingOrder="2"/>
    </xf>
    <xf numFmtId="0" fontId="19" fillId="0" borderId="48" xfId="0" applyFont="1" applyBorder="1" applyAlignment="1">
      <alignment horizontal="center" vertical="center" wrapText="1" readingOrder="2"/>
    </xf>
    <xf numFmtId="0" fontId="17" fillId="0" borderId="92" xfId="0" applyFont="1" applyBorder="1" applyAlignment="1">
      <alignment horizontal="center" wrapText="1" readingOrder="2"/>
    </xf>
    <xf numFmtId="0" fontId="17" fillId="0" borderId="93" xfId="0" applyFont="1" applyBorder="1" applyAlignment="1">
      <alignment horizontal="center" wrapText="1" readingOrder="2"/>
    </xf>
    <xf numFmtId="0" fontId="8" fillId="0" borderId="82" xfId="0" applyFont="1" applyBorder="1" applyAlignment="1">
      <alignment horizontal="center" vertical="center" wrapText="1" readingOrder="2"/>
    </xf>
    <xf numFmtId="0" fontId="8" fillId="0" borderId="37" xfId="0" applyFont="1" applyBorder="1" applyAlignment="1">
      <alignment horizontal="center" vertical="center" wrapText="1" readingOrder="2"/>
    </xf>
    <xf numFmtId="0" fontId="9" fillId="0" borderId="85" xfId="0" applyFont="1" applyBorder="1" applyAlignment="1">
      <alignment horizontal="center" vertical="center" wrapText="1" readingOrder="2"/>
    </xf>
    <xf numFmtId="0" fontId="9" fillId="0" borderId="81" xfId="0" applyFont="1" applyBorder="1" applyAlignment="1">
      <alignment horizontal="center" vertical="center" wrapText="1" readingOrder="2"/>
    </xf>
    <xf numFmtId="0" fontId="28" fillId="0" borderId="82" xfId="0" applyFont="1" applyBorder="1" applyAlignment="1">
      <alignment horizontal="center" vertical="center" wrapText="1" readingOrder="2"/>
    </xf>
    <xf numFmtId="0" fontId="28" fillId="0" borderId="37" xfId="0" applyFont="1" applyBorder="1" applyAlignment="1">
      <alignment horizontal="center" vertical="center" wrapText="1" readingOrder="2"/>
    </xf>
    <xf numFmtId="0" fontId="25" fillId="0" borderId="40" xfId="0" applyFont="1" applyBorder="1" applyAlignment="1">
      <alignment horizontal="right" vertical="center" wrapText="1" readingOrder="2"/>
    </xf>
    <xf numFmtId="0" fontId="25" fillId="0" borderId="32" xfId="0" applyFont="1" applyBorder="1" applyAlignment="1">
      <alignment horizontal="right" vertical="center" wrapText="1" readingOrder="2"/>
    </xf>
    <xf numFmtId="0" fontId="25" fillId="0" borderId="39" xfId="0" applyFont="1" applyBorder="1" applyAlignment="1">
      <alignment horizontal="right" vertical="center" wrapText="1" readingOrder="2"/>
    </xf>
    <xf numFmtId="0" fontId="11" fillId="7" borderId="38" xfId="0" applyFont="1" applyFill="1" applyBorder="1" applyAlignment="1">
      <alignment horizontal="center" vertical="center" wrapText="1" readingOrder="2"/>
    </xf>
    <xf numFmtId="0" fontId="11" fillId="7" borderId="37" xfId="0" applyFont="1" applyFill="1" applyBorder="1" applyAlignment="1">
      <alignment horizontal="center" vertical="center" wrapText="1" readingOrder="2"/>
    </xf>
    <xf numFmtId="0" fontId="20" fillId="0" borderId="38" xfId="0" applyFont="1" applyBorder="1" applyAlignment="1">
      <alignment horizontal="center" vertical="center" wrapText="1" readingOrder="2"/>
    </xf>
    <xf numFmtId="0" fontId="20" fillId="0" borderId="48" xfId="0" applyFont="1" applyBorder="1" applyAlignment="1">
      <alignment horizontal="center" vertical="center" wrapText="1" readingOrder="2"/>
    </xf>
    <xf numFmtId="0" fontId="20" fillId="0" borderId="37" xfId="0" applyFont="1" applyBorder="1" applyAlignment="1">
      <alignment horizontal="center" vertical="center" wrapText="1" readingOrder="2"/>
    </xf>
    <xf numFmtId="0" fontId="30" fillId="0" borderId="78" xfId="0" applyFont="1" applyBorder="1" applyAlignment="1">
      <alignment horizontal="right" vertical="center" wrapText="1" readingOrder="2"/>
    </xf>
    <xf numFmtId="0" fontId="30" fillId="0" borderId="76" xfId="0" applyFont="1" applyBorder="1" applyAlignment="1">
      <alignment horizontal="right" vertical="center" wrapText="1" readingOrder="2"/>
    </xf>
    <xf numFmtId="0" fontId="30" fillId="0" borderId="81" xfId="0" applyFont="1" applyBorder="1" applyAlignment="1">
      <alignment horizontal="right" vertical="center" wrapText="1" readingOrder="2"/>
    </xf>
    <xf numFmtId="0" fontId="25" fillId="0" borderId="45" xfId="0" applyFont="1" applyBorder="1" applyAlignment="1">
      <alignment horizontal="center" vertical="center" wrapText="1" readingOrder="2"/>
    </xf>
    <xf numFmtId="0" fontId="25" fillId="0" borderId="44" xfId="0" applyFont="1" applyBorder="1" applyAlignment="1">
      <alignment horizontal="center" vertical="center" wrapText="1" readingOrder="2"/>
    </xf>
    <xf numFmtId="0" fontId="25" fillId="0" borderId="46" xfId="0" applyFont="1" applyBorder="1" applyAlignment="1">
      <alignment horizontal="center" vertical="center" wrapText="1" readingOrder="2"/>
    </xf>
    <xf numFmtId="0" fontId="17" fillId="0" borderId="42" xfId="0" applyFont="1" applyBorder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17" fillId="0" borderId="87" xfId="0" applyFont="1" applyBorder="1" applyAlignment="1">
      <alignment horizontal="right" vertical="center" wrapText="1" readingOrder="2"/>
    </xf>
    <xf numFmtId="0" fontId="17" fillId="0" borderId="83" xfId="0" applyFont="1" applyBorder="1" applyAlignment="1">
      <alignment horizontal="right" vertical="center" wrapText="1" readingOrder="2"/>
    </xf>
    <xf numFmtId="0" fontId="17" fillId="0" borderId="35" xfId="0" applyFont="1" applyBorder="1" applyAlignment="1">
      <alignment horizontal="right" vertical="center" wrapText="1" readingOrder="2"/>
    </xf>
    <xf numFmtId="0" fontId="17" fillId="0" borderId="52" xfId="0" applyFont="1" applyBorder="1" applyAlignment="1">
      <alignment horizontal="right" vertical="center" wrapText="1" readingOrder="2"/>
    </xf>
    <xf numFmtId="0" fontId="17" fillId="0" borderId="88" xfId="0" applyFont="1" applyBorder="1" applyAlignment="1">
      <alignment horizontal="right" vertical="center" wrapText="1" readingOrder="2"/>
    </xf>
    <xf numFmtId="0" fontId="17" fillId="0" borderId="41" xfId="0" applyFont="1" applyBorder="1" applyAlignment="1">
      <alignment horizontal="right" vertical="center" wrapText="1" readingOrder="2"/>
    </xf>
    <xf numFmtId="0" fontId="17" fillId="0" borderId="50" xfId="0" applyFont="1" applyBorder="1" applyAlignment="1">
      <alignment horizontal="right" vertical="center" wrapText="1" readingOrder="2"/>
    </xf>
    <xf numFmtId="0" fontId="17" fillId="0" borderId="51" xfId="0" applyFont="1" applyBorder="1" applyAlignment="1">
      <alignment horizontal="right" vertical="center" wrapText="1" readingOrder="2"/>
    </xf>
    <xf numFmtId="0" fontId="27" fillId="0" borderId="82" xfId="0" applyFont="1" applyBorder="1" applyAlignment="1">
      <alignment horizontal="center" vertical="center" wrapText="1" readingOrder="2"/>
    </xf>
    <xf numFmtId="0" fontId="27" fillId="0" borderId="37" xfId="0" applyFont="1" applyBorder="1" applyAlignment="1">
      <alignment horizontal="center" vertical="center" wrapText="1" readingOrder="2"/>
    </xf>
    <xf numFmtId="0" fontId="26" fillId="0" borderId="59" xfId="0" applyFont="1" applyBorder="1" applyAlignment="1">
      <alignment horizontal="right" vertical="center" wrapText="1" readingOrder="2"/>
    </xf>
    <xf numFmtId="0" fontId="26" fillId="0" borderId="60" xfId="0" applyFont="1" applyBorder="1" applyAlignment="1">
      <alignment horizontal="right" vertical="center" wrapText="1" readingOrder="2"/>
    </xf>
    <xf numFmtId="0" fontId="26" fillId="0" borderId="61" xfId="0" applyFont="1" applyBorder="1" applyAlignment="1">
      <alignment horizontal="right" vertical="center" wrapText="1" readingOrder="2"/>
    </xf>
    <xf numFmtId="0" fontId="26" fillId="0" borderId="56" xfId="0" applyFont="1" applyBorder="1" applyAlignment="1">
      <alignment horizontal="right" vertical="center" wrapText="1" readingOrder="2"/>
    </xf>
    <xf numFmtId="0" fontId="26" fillId="0" borderId="57" xfId="0" applyFont="1" applyBorder="1" applyAlignment="1">
      <alignment horizontal="right" vertical="center" wrapText="1" readingOrder="2"/>
    </xf>
    <xf numFmtId="0" fontId="26" fillId="0" borderId="58" xfId="0" applyFont="1" applyBorder="1" applyAlignment="1">
      <alignment horizontal="right" vertical="center" wrapText="1" readingOrder="2"/>
    </xf>
    <xf numFmtId="0" fontId="25" fillId="0" borderId="59" xfId="0" applyFont="1" applyBorder="1" applyAlignment="1">
      <alignment horizontal="right" vertical="center" wrapText="1" readingOrder="2"/>
    </xf>
    <xf numFmtId="0" fontId="25" fillId="0" borderId="60" xfId="0" applyFont="1" applyBorder="1" applyAlignment="1">
      <alignment horizontal="right" vertical="center" wrapText="1" readingOrder="2"/>
    </xf>
    <xf numFmtId="0" fontId="25" fillId="0" borderId="61" xfId="0" applyFont="1" applyBorder="1" applyAlignment="1">
      <alignment horizontal="right" vertical="center" wrapText="1" readingOrder="2"/>
    </xf>
    <xf numFmtId="0" fontId="17" fillId="0" borderId="56" xfId="0" applyFont="1" applyBorder="1" applyAlignment="1">
      <alignment horizontal="right" vertical="center" wrapText="1" readingOrder="2"/>
    </xf>
    <xf numFmtId="0" fontId="17" fillId="0" borderId="57" xfId="0" applyFont="1" applyBorder="1" applyAlignment="1">
      <alignment horizontal="right" vertical="center" wrapText="1" readingOrder="2"/>
    </xf>
    <xf numFmtId="0" fontId="17" fillId="0" borderId="58" xfId="0" applyFont="1" applyBorder="1" applyAlignment="1">
      <alignment horizontal="right" vertical="center" wrapText="1" readingOrder="2"/>
    </xf>
    <xf numFmtId="0" fontId="17" fillId="0" borderId="53" xfId="0" applyFont="1" applyBorder="1" applyAlignment="1">
      <alignment horizontal="right" wrapText="1" readingOrder="2"/>
    </xf>
    <xf numFmtId="0" fontId="17" fillId="0" borderId="54" xfId="0" applyFont="1" applyBorder="1" applyAlignment="1">
      <alignment horizontal="right" wrapText="1" readingOrder="2"/>
    </xf>
    <xf numFmtId="0" fontId="17" fillId="0" borderId="55" xfId="0" applyFont="1" applyBorder="1" applyAlignment="1">
      <alignment horizontal="right" wrapText="1" readingOrder="2"/>
    </xf>
    <xf numFmtId="0" fontId="29" fillId="0" borderId="38" xfId="0" applyFont="1" applyBorder="1" applyAlignment="1">
      <alignment horizontal="center" vertical="center" wrapText="1" readingOrder="2"/>
    </xf>
    <xf numFmtId="0" fontId="29" fillId="0" borderId="37" xfId="0" applyFont="1" applyBorder="1" applyAlignment="1">
      <alignment horizontal="center" vertical="center" wrapText="1" readingOrder="2"/>
    </xf>
    <xf numFmtId="0" fontId="11" fillId="6" borderId="38" xfId="0" applyFont="1" applyFill="1" applyBorder="1" applyAlignment="1">
      <alignment horizontal="center" vertical="center" wrapText="1" readingOrder="2"/>
    </xf>
    <xf numFmtId="0" fontId="11" fillId="6" borderId="37" xfId="0" applyFont="1" applyFill="1" applyBorder="1" applyAlignment="1">
      <alignment horizontal="center" vertical="center" wrapText="1" readingOrder="2"/>
    </xf>
    <xf numFmtId="0" fontId="29" fillId="0" borderId="48" xfId="0" applyFont="1" applyBorder="1" applyAlignment="1">
      <alignment horizontal="center" vertical="center" wrapText="1" readingOrder="2"/>
    </xf>
    <xf numFmtId="0" fontId="8" fillId="0" borderId="33" xfId="0" applyFont="1" applyBorder="1" applyAlignment="1">
      <alignment horizontal="center" vertical="center" wrapText="1" readingOrder="2"/>
    </xf>
    <xf numFmtId="1" fontId="13" fillId="0" borderId="33" xfId="0" applyNumberFormat="1" applyFont="1" applyBorder="1" applyAlignment="1">
      <alignment horizontal="center" vertical="center" wrapText="1" readingOrder="2"/>
    </xf>
    <xf numFmtId="1" fontId="13" fillId="0" borderId="37" xfId="0" applyNumberFormat="1" applyFont="1" applyBorder="1" applyAlignment="1">
      <alignment horizontal="center" vertical="center" wrapText="1" readingOrder="2"/>
    </xf>
    <xf numFmtId="0" fontId="13" fillId="0" borderId="73" xfId="0" applyFont="1" applyBorder="1" applyAlignment="1">
      <alignment horizontal="center" vertical="center" wrapText="1" readingOrder="2"/>
    </xf>
    <xf numFmtId="0" fontId="13" fillId="0" borderId="72" xfId="0" applyFont="1" applyBorder="1" applyAlignment="1">
      <alignment horizontal="center" vertical="center" wrapText="1" readingOrder="2"/>
    </xf>
    <xf numFmtId="0" fontId="7" fillId="0" borderId="45" xfId="0" applyFont="1" applyBorder="1" applyAlignment="1">
      <alignment horizontal="right" vertical="center" wrapText="1" readingOrder="2"/>
    </xf>
    <xf numFmtId="0" fontId="7" fillId="0" borderId="44" xfId="0" applyFont="1" applyBorder="1" applyAlignment="1">
      <alignment horizontal="right" vertical="center" wrapText="1" readingOrder="2"/>
    </xf>
    <xf numFmtId="0" fontId="7" fillId="0" borderId="46" xfId="0" applyFont="1" applyBorder="1" applyAlignment="1">
      <alignment horizontal="right" vertical="center" wrapText="1" readingOrder="2"/>
    </xf>
    <xf numFmtId="0" fontId="22" fillId="0" borderId="81" xfId="0" applyFont="1" applyBorder="1" applyAlignment="1">
      <alignment horizontal="right" vertical="center" wrapText="1" readingOrder="2"/>
    </xf>
    <xf numFmtId="0" fontId="25" fillId="0" borderId="67" xfId="0" applyFont="1" applyBorder="1" applyAlignment="1">
      <alignment horizontal="right" wrapText="1" readingOrder="2"/>
    </xf>
    <xf numFmtId="0" fontId="25" fillId="0" borderId="68" xfId="0" applyFont="1" applyBorder="1" applyAlignment="1">
      <alignment horizontal="right" wrapText="1" readingOrder="2"/>
    </xf>
    <xf numFmtId="0" fontId="25" fillId="0" borderId="69" xfId="0" applyFont="1" applyBorder="1" applyAlignment="1">
      <alignment horizontal="right" wrapText="1" readingOrder="2"/>
    </xf>
    <xf numFmtId="0" fontId="21" fillId="0" borderId="78" xfId="0" applyFont="1" applyBorder="1" applyAlignment="1">
      <alignment horizontal="center" vertical="center" wrapText="1" readingOrder="2"/>
    </xf>
    <xf numFmtId="0" fontId="21" fillId="0" borderId="77" xfId="0" applyFont="1" applyBorder="1" applyAlignment="1">
      <alignment horizontal="center" vertical="center" wrapText="1" readingOrder="2"/>
    </xf>
    <xf numFmtId="0" fontId="22" fillId="0" borderId="76" xfId="0" applyFont="1" applyBorder="1" applyAlignment="1">
      <alignment horizontal="right" vertical="center" wrapText="1" readingOrder="2"/>
    </xf>
    <xf numFmtId="0" fontId="19" fillId="0" borderId="38" xfId="0" applyFont="1" applyBorder="1" applyAlignment="1">
      <alignment horizontal="center" vertical="center" wrapText="1" readingOrder="2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79"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7C80"/>
      <color rgb="FFFF66FF"/>
      <color rgb="FF3399FF"/>
      <color rgb="FFFFCCFF"/>
      <color rgb="FFCCFFFF"/>
      <color rgb="FFFF3300"/>
      <color rgb="FFFF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</xdr:colOff>
      <xdr:row>5</xdr:row>
      <xdr:rowOff>85725</xdr:rowOff>
    </xdr:from>
    <xdr:to>
      <xdr:col>5</xdr:col>
      <xdr:colOff>161925</xdr:colOff>
      <xdr:row>5</xdr:row>
      <xdr:rowOff>176530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9983638275" y="1057275"/>
          <a:ext cx="90805" cy="9080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5</xdr:col>
      <xdr:colOff>674687</xdr:colOff>
      <xdr:row>49</xdr:row>
      <xdr:rowOff>73025</xdr:rowOff>
    </xdr:from>
    <xdr:to>
      <xdr:col>6</xdr:col>
      <xdr:colOff>106362</xdr:colOff>
      <xdr:row>49</xdr:row>
      <xdr:rowOff>187325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1178957513" y="112966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 editAs="oneCell">
    <xdr:from>
      <xdr:col>11</xdr:col>
      <xdr:colOff>495300</xdr:colOff>
      <xdr:row>1</xdr:row>
      <xdr:rowOff>28575</xdr:rowOff>
    </xdr:from>
    <xdr:to>
      <xdr:col>12</xdr:col>
      <xdr:colOff>568960</xdr:colOff>
      <xdr:row>1</xdr:row>
      <xdr:rowOff>301625</xdr:rowOff>
    </xdr:to>
    <xdr:pic>
      <xdr:nvPicPr>
        <xdr:cNvPr id="17" name="Picture 16" descr="TFC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979230740" y="228600"/>
          <a:ext cx="683260" cy="27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628650</xdr:colOff>
      <xdr:row>5</xdr:row>
      <xdr:rowOff>76200</xdr:rowOff>
    </xdr:from>
    <xdr:to>
      <xdr:col>3</xdr:col>
      <xdr:colOff>719455</xdr:colOff>
      <xdr:row>5</xdr:row>
      <xdr:rowOff>167005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9987157445" y="1047750"/>
          <a:ext cx="90805" cy="90805"/>
        </a:xfrm>
        <a:prstGeom prst="rect">
          <a:avLst/>
        </a:prstGeom>
        <a:solidFill>
          <a:schemeClr val="bg1">
            <a:lumMod val="100000"/>
            <a:lumOff val="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9</xdr:col>
      <xdr:colOff>361950</xdr:colOff>
      <xdr:row>5</xdr:row>
      <xdr:rowOff>85725</xdr:rowOff>
    </xdr:from>
    <xdr:to>
      <xdr:col>9</xdr:col>
      <xdr:colOff>452755</xdr:colOff>
      <xdr:row>5</xdr:row>
      <xdr:rowOff>176530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9981128120" y="1171575"/>
          <a:ext cx="90805" cy="90805"/>
        </a:xfrm>
        <a:prstGeom prst="rect">
          <a:avLst/>
        </a:prstGeom>
        <a:solidFill>
          <a:schemeClr val="bg1">
            <a:lumMod val="100000"/>
            <a:lumOff val="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9</xdr:col>
      <xdr:colOff>530225</xdr:colOff>
      <xdr:row>56</xdr:row>
      <xdr:rowOff>34925</xdr:rowOff>
    </xdr:from>
    <xdr:to>
      <xdr:col>9</xdr:col>
      <xdr:colOff>644525</xdr:colOff>
      <xdr:row>56</xdr:row>
      <xdr:rowOff>149225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rrowheads="1"/>
        </xdr:cNvSpPr>
      </xdr:nvSpPr>
      <xdr:spPr bwMode="auto">
        <a:xfrm>
          <a:off x="11229108225" y="12925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11</xdr:col>
      <xdr:colOff>209549</xdr:colOff>
      <xdr:row>56</xdr:row>
      <xdr:rowOff>53974</xdr:rowOff>
    </xdr:from>
    <xdr:to>
      <xdr:col>11</xdr:col>
      <xdr:colOff>304799</xdr:colOff>
      <xdr:row>56</xdr:row>
      <xdr:rowOff>144779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11228177951" y="12944474"/>
          <a:ext cx="95250" cy="9080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9</xdr:col>
      <xdr:colOff>520699</xdr:colOff>
      <xdr:row>55</xdr:row>
      <xdr:rowOff>52386</xdr:rowOff>
    </xdr:from>
    <xdr:to>
      <xdr:col>9</xdr:col>
      <xdr:colOff>615949</xdr:colOff>
      <xdr:row>55</xdr:row>
      <xdr:rowOff>143191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11177162051" y="12744449"/>
          <a:ext cx="95250" cy="9080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7</xdr:col>
      <xdr:colOff>528955</xdr:colOff>
      <xdr:row>5</xdr:row>
      <xdr:rowOff>76200</xdr:rowOff>
    </xdr:from>
    <xdr:to>
      <xdr:col>7</xdr:col>
      <xdr:colOff>619760</xdr:colOff>
      <xdr:row>5</xdr:row>
      <xdr:rowOff>167005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9981808840" y="1162050"/>
          <a:ext cx="90805" cy="90805"/>
        </a:xfrm>
        <a:prstGeom prst="rect">
          <a:avLst/>
        </a:prstGeom>
        <a:solidFill>
          <a:schemeClr val="bg1">
            <a:lumMod val="100000"/>
            <a:lumOff val="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4</xdr:col>
      <xdr:colOff>1206500</xdr:colOff>
      <xdr:row>50</xdr:row>
      <xdr:rowOff>50800</xdr:rowOff>
    </xdr:from>
    <xdr:to>
      <xdr:col>5</xdr:col>
      <xdr:colOff>88900</xdr:colOff>
      <xdr:row>50</xdr:row>
      <xdr:rowOff>165100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11231645050" y="115379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5</xdr:col>
      <xdr:colOff>138112</xdr:colOff>
      <xdr:row>49</xdr:row>
      <xdr:rowOff>74612</xdr:rowOff>
    </xdr:from>
    <xdr:to>
      <xdr:col>5</xdr:col>
      <xdr:colOff>252412</xdr:colOff>
      <xdr:row>49</xdr:row>
      <xdr:rowOff>188912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11179494088" y="11298237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  <xdr:twoCellAnchor>
    <xdr:from>
      <xdr:col>3</xdr:col>
      <xdr:colOff>895350</xdr:colOff>
      <xdr:row>50</xdr:row>
      <xdr:rowOff>63500</xdr:rowOff>
    </xdr:from>
    <xdr:to>
      <xdr:col>4</xdr:col>
      <xdr:colOff>76200</xdr:colOff>
      <xdr:row>50</xdr:row>
      <xdr:rowOff>177800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11232889650" y="115506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Overflow="overflow" vert="horz" wrap="square" lIns="91440" tIns="45720" rIns="91440" bIns="45720" rtlCol="0" anchor="t" upright="1">
          <a:noAutofit/>
        </a:bodyPr>
        <a:lstStyle/>
        <a:p>
          <a:endParaRPr lang="en-US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3"/>
  <sheetViews>
    <sheetView rightToLeft="1" topLeftCell="J9" zoomScale="115" zoomScaleNormal="115" workbookViewId="0">
      <selection activeCell="P17" sqref="P17"/>
    </sheetView>
  </sheetViews>
  <sheetFormatPr defaultRowHeight="14.4" x14ac:dyDescent="0.3"/>
  <cols>
    <col min="1" max="1" width="14.6640625" style="19" bestFit="1" customWidth="1"/>
    <col min="2" max="2" width="12.88671875" style="20" bestFit="1" customWidth="1"/>
    <col min="3" max="3" width="12.88671875" style="21" bestFit="1" customWidth="1"/>
    <col min="4" max="4" width="10.5546875" style="19" bestFit="1" customWidth="1"/>
    <col min="5" max="5" width="10.5546875" style="21" customWidth="1"/>
    <col min="6" max="6" width="5.44140625" bestFit="1" customWidth="1"/>
    <col min="7" max="7" width="37" style="33" bestFit="1" customWidth="1"/>
    <col min="8" max="8" width="10" style="48" bestFit="1" customWidth="1"/>
    <col min="9" max="9" width="12" customWidth="1"/>
    <col min="10" max="10" width="9.33203125" bestFit="1" customWidth="1"/>
    <col min="11" max="11" width="36" style="46" customWidth="1"/>
    <col min="12" max="12" width="13.109375" bestFit="1" customWidth="1"/>
    <col min="13" max="13" width="80.109375" style="82" bestFit="1" customWidth="1"/>
    <col min="14" max="14" width="21.109375" bestFit="1" customWidth="1"/>
    <col min="15" max="15" width="18.88671875" customWidth="1"/>
  </cols>
  <sheetData>
    <row r="1" spans="1:16" ht="15.6" thickBot="1" x14ac:dyDescent="0.35">
      <c r="A1" s="35" t="s">
        <v>0</v>
      </c>
      <c r="B1" s="1" t="s">
        <v>1</v>
      </c>
      <c r="C1" s="30" t="s">
        <v>2</v>
      </c>
      <c r="D1" s="45" t="s">
        <v>472</v>
      </c>
      <c r="E1" s="94" t="s">
        <v>789</v>
      </c>
      <c r="F1" s="45" t="s">
        <v>173</v>
      </c>
      <c r="G1" s="45" t="s">
        <v>181</v>
      </c>
      <c r="H1" s="47" t="s">
        <v>182</v>
      </c>
      <c r="K1"/>
    </row>
    <row r="2" spans="1:16" ht="20.399999999999999" x14ac:dyDescent="0.3">
      <c r="A2" s="101">
        <v>331150101</v>
      </c>
      <c r="B2" s="3"/>
      <c r="C2" s="51">
        <v>566501</v>
      </c>
      <c r="D2" s="4" t="s">
        <v>3</v>
      </c>
      <c r="E2" s="95">
        <v>330000146</v>
      </c>
      <c r="F2" s="36">
        <v>1</v>
      </c>
      <c r="G2" s="7" t="s">
        <v>473</v>
      </c>
      <c r="H2" s="70">
        <v>120</v>
      </c>
      <c r="J2" s="49" t="s">
        <v>174</v>
      </c>
      <c r="K2" s="50" t="s">
        <v>205</v>
      </c>
      <c r="L2" s="50" t="s">
        <v>206</v>
      </c>
      <c r="M2" s="50" t="s">
        <v>207</v>
      </c>
      <c r="N2" s="49" t="s">
        <v>282</v>
      </c>
      <c r="O2" s="49" t="s">
        <v>208</v>
      </c>
      <c r="P2" s="49" t="s">
        <v>452</v>
      </c>
    </row>
    <row r="3" spans="1:16" ht="20.399999999999999" x14ac:dyDescent="0.3">
      <c r="A3" s="100">
        <v>331150102</v>
      </c>
      <c r="B3" s="6"/>
      <c r="C3" s="52">
        <v>566502</v>
      </c>
      <c r="D3" s="7" t="s">
        <v>4</v>
      </c>
      <c r="E3" s="95">
        <v>330000148</v>
      </c>
      <c r="F3" s="36">
        <v>1</v>
      </c>
      <c r="G3" s="7" t="s">
        <v>474</v>
      </c>
      <c r="H3" s="70">
        <v>120</v>
      </c>
      <c r="J3" s="49">
        <v>1</v>
      </c>
      <c r="K3" s="50" t="s">
        <v>198</v>
      </c>
      <c r="L3" s="50" t="s">
        <v>273</v>
      </c>
      <c r="M3" s="50" t="s">
        <v>200</v>
      </c>
      <c r="N3" s="49" t="s">
        <v>223</v>
      </c>
      <c r="O3" s="49">
        <v>4280386862</v>
      </c>
      <c r="P3" s="49">
        <v>13335</v>
      </c>
    </row>
    <row r="4" spans="1:16" ht="20.399999999999999" x14ac:dyDescent="0.3">
      <c r="A4" s="100">
        <v>331150103</v>
      </c>
      <c r="B4" s="6"/>
      <c r="C4" s="52">
        <v>566503</v>
      </c>
      <c r="D4" s="7" t="s">
        <v>5</v>
      </c>
      <c r="E4" s="95">
        <v>330000150</v>
      </c>
      <c r="F4" s="36">
        <v>1</v>
      </c>
      <c r="G4" s="7" t="s">
        <v>475</v>
      </c>
      <c r="H4" s="70">
        <v>120</v>
      </c>
      <c r="J4" s="49">
        <v>2</v>
      </c>
      <c r="K4" s="50" t="s">
        <v>199</v>
      </c>
      <c r="L4" s="50" t="s">
        <v>257</v>
      </c>
      <c r="M4" s="50" t="s">
        <v>201</v>
      </c>
      <c r="N4" s="49" t="s">
        <v>232</v>
      </c>
      <c r="O4" s="49">
        <v>1971490441</v>
      </c>
      <c r="P4" s="49">
        <v>13499</v>
      </c>
    </row>
    <row r="5" spans="1:16" ht="20.399999999999999" x14ac:dyDescent="0.3">
      <c r="A5" s="100">
        <v>331150104</v>
      </c>
      <c r="B5" s="6"/>
      <c r="C5" s="52">
        <v>566504</v>
      </c>
      <c r="D5" s="7" t="s">
        <v>6</v>
      </c>
      <c r="E5" s="95">
        <v>330000152</v>
      </c>
      <c r="F5" s="36">
        <v>1</v>
      </c>
      <c r="G5" s="7" t="s">
        <v>476</v>
      </c>
      <c r="H5" s="70">
        <v>120</v>
      </c>
      <c r="J5" s="49">
        <v>3</v>
      </c>
      <c r="K5" s="50" t="s">
        <v>183</v>
      </c>
      <c r="L5" s="50" t="s">
        <v>451</v>
      </c>
      <c r="M5" s="50" t="s">
        <v>202</v>
      </c>
      <c r="N5" s="49" t="s">
        <v>234</v>
      </c>
      <c r="O5" s="49">
        <v>938604023</v>
      </c>
      <c r="P5" s="49">
        <v>13937</v>
      </c>
    </row>
    <row r="6" spans="1:16" ht="20.399999999999999" x14ac:dyDescent="0.3">
      <c r="A6" s="100">
        <v>331150105</v>
      </c>
      <c r="B6" s="6"/>
      <c r="C6" s="52">
        <v>566505</v>
      </c>
      <c r="D6" s="7" t="s">
        <v>7</v>
      </c>
      <c r="E6" s="95">
        <v>330000154</v>
      </c>
      <c r="F6" s="36">
        <v>1</v>
      </c>
      <c r="G6" s="7" t="s">
        <v>477</v>
      </c>
      <c r="H6" s="70">
        <v>120</v>
      </c>
      <c r="J6" s="49">
        <v>4</v>
      </c>
      <c r="K6" s="50" t="s">
        <v>184</v>
      </c>
      <c r="L6" s="50" t="s">
        <v>258</v>
      </c>
      <c r="M6" s="50" t="s">
        <v>203</v>
      </c>
      <c r="N6" s="49" t="s">
        <v>237</v>
      </c>
      <c r="O6" s="49">
        <v>5719117202</v>
      </c>
      <c r="P6" s="49">
        <v>13818</v>
      </c>
    </row>
    <row r="7" spans="1:16" ht="20.399999999999999" x14ac:dyDescent="0.3">
      <c r="A7" s="100">
        <v>331150106</v>
      </c>
      <c r="B7" s="6"/>
      <c r="C7" s="52">
        <v>566506</v>
      </c>
      <c r="D7" s="7" t="s">
        <v>8</v>
      </c>
      <c r="E7" s="95">
        <v>330000156</v>
      </c>
      <c r="F7" s="36">
        <v>1</v>
      </c>
      <c r="G7" s="7" t="s">
        <v>478</v>
      </c>
      <c r="H7" s="70">
        <v>120</v>
      </c>
      <c r="J7" s="49">
        <v>5</v>
      </c>
      <c r="K7" s="50" t="s">
        <v>185</v>
      </c>
      <c r="L7" s="50" t="s">
        <v>259</v>
      </c>
      <c r="M7" s="50" t="s">
        <v>204</v>
      </c>
      <c r="N7" s="49" t="s">
        <v>226</v>
      </c>
      <c r="O7" s="49">
        <v>6469508464</v>
      </c>
      <c r="P7" s="49">
        <v>13392</v>
      </c>
    </row>
    <row r="8" spans="1:16" ht="20.399999999999999" x14ac:dyDescent="0.3">
      <c r="A8" s="100">
        <v>331150107</v>
      </c>
      <c r="B8" s="6"/>
      <c r="C8" s="52">
        <v>566507</v>
      </c>
      <c r="D8" s="7" t="s">
        <v>9</v>
      </c>
      <c r="E8" s="95">
        <v>330000158</v>
      </c>
      <c r="F8" s="36">
        <v>1</v>
      </c>
      <c r="G8" s="7" t="s">
        <v>479</v>
      </c>
      <c r="H8" s="70">
        <v>120</v>
      </c>
      <c r="J8" s="49">
        <v>6</v>
      </c>
      <c r="K8" s="50" t="s">
        <v>186</v>
      </c>
      <c r="L8" s="50" t="s">
        <v>260</v>
      </c>
      <c r="M8" s="50" t="s">
        <v>221</v>
      </c>
      <c r="N8" s="49" t="s">
        <v>222</v>
      </c>
      <c r="O8" s="49">
        <v>2594067423</v>
      </c>
      <c r="P8" s="49">
        <v>13383</v>
      </c>
    </row>
    <row r="9" spans="1:16" ht="20.399999999999999" x14ac:dyDescent="0.3">
      <c r="A9" s="100">
        <v>331150117</v>
      </c>
      <c r="B9" s="6"/>
      <c r="C9" s="52">
        <v>566508</v>
      </c>
      <c r="D9" s="7" t="s">
        <v>10</v>
      </c>
      <c r="E9" s="95">
        <v>330000160</v>
      </c>
      <c r="F9" s="36">
        <v>1</v>
      </c>
      <c r="G9" s="7" t="s">
        <v>480</v>
      </c>
      <c r="H9" s="70">
        <v>120</v>
      </c>
      <c r="J9" s="129">
        <v>7</v>
      </c>
      <c r="K9" s="84" t="s">
        <v>187</v>
      </c>
      <c r="L9" s="84" t="s">
        <v>261</v>
      </c>
      <c r="M9" s="84" t="s">
        <v>220</v>
      </c>
      <c r="N9" s="83" t="s">
        <v>236</v>
      </c>
      <c r="O9" s="83">
        <v>5139827166</v>
      </c>
      <c r="P9" s="49">
        <v>13760</v>
      </c>
    </row>
    <row r="10" spans="1:16" ht="20.399999999999999" x14ac:dyDescent="0.3">
      <c r="A10" s="100">
        <v>331150118</v>
      </c>
      <c r="B10" s="6"/>
      <c r="C10" s="52">
        <v>566509</v>
      </c>
      <c r="D10" s="7" t="s">
        <v>11</v>
      </c>
      <c r="E10" s="95">
        <v>330000162</v>
      </c>
      <c r="F10" s="36">
        <v>1</v>
      </c>
      <c r="G10" s="7" t="s">
        <v>481</v>
      </c>
      <c r="H10" s="70">
        <v>120</v>
      </c>
      <c r="J10" s="131"/>
      <c r="K10" s="84" t="s">
        <v>187</v>
      </c>
      <c r="L10" s="84" t="s">
        <v>261</v>
      </c>
      <c r="M10" s="84" t="s">
        <v>684</v>
      </c>
      <c r="N10" s="83" t="s">
        <v>236</v>
      </c>
      <c r="O10" s="83">
        <v>5139827166</v>
      </c>
      <c r="P10" s="49">
        <v>132345</v>
      </c>
    </row>
    <row r="11" spans="1:16" ht="20.399999999999999" x14ac:dyDescent="0.3">
      <c r="A11" s="100">
        <v>331150108</v>
      </c>
      <c r="B11" s="6"/>
      <c r="C11" s="53">
        <v>566515</v>
      </c>
      <c r="D11" s="7" t="s">
        <v>12</v>
      </c>
      <c r="E11" s="95">
        <v>330000182</v>
      </c>
      <c r="F11" s="36">
        <v>1</v>
      </c>
      <c r="G11" s="7" t="s">
        <v>482</v>
      </c>
      <c r="H11" s="70">
        <v>120</v>
      </c>
      <c r="J11" s="130"/>
      <c r="K11" s="84" t="s">
        <v>187</v>
      </c>
      <c r="L11" s="84" t="s">
        <v>261</v>
      </c>
      <c r="M11" s="84" t="s">
        <v>685</v>
      </c>
      <c r="N11" s="83" t="s">
        <v>236</v>
      </c>
      <c r="O11" s="83">
        <v>5139827166</v>
      </c>
      <c r="P11" s="49">
        <v>132346</v>
      </c>
    </row>
    <row r="12" spans="1:16" ht="20.399999999999999" x14ac:dyDescent="0.3">
      <c r="A12" s="100">
        <v>331150109</v>
      </c>
      <c r="B12" s="5">
        <v>441150109</v>
      </c>
      <c r="C12" s="52">
        <v>566516</v>
      </c>
      <c r="D12" s="7" t="s">
        <v>13</v>
      </c>
      <c r="E12" s="95">
        <v>330000165</v>
      </c>
      <c r="F12" s="36">
        <v>1</v>
      </c>
      <c r="G12" s="7" t="s">
        <v>483</v>
      </c>
      <c r="H12" s="70">
        <v>120</v>
      </c>
      <c r="J12" s="49">
        <v>8</v>
      </c>
      <c r="K12" s="50" t="s">
        <v>188</v>
      </c>
      <c r="L12" s="50" t="s">
        <v>262</v>
      </c>
      <c r="M12" s="50" t="s">
        <v>209</v>
      </c>
      <c r="N12" s="49" t="s">
        <v>224</v>
      </c>
      <c r="O12" s="49">
        <v>76024105</v>
      </c>
      <c r="P12" s="49">
        <v>33230</v>
      </c>
    </row>
    <row r="13" spans="1:16" ht="20.399999999999999" x14ac:dyDescent="0.3">
      <c r="A13" s="100">
        <v>331150110</v>
      </c>
      <c r="B13" s="6"/>
      <c r="C13" s="52">
        <v>566517</v>
      </c>
      <c r="D13" s="7" t="s">
        <v>14</v>
      </c>
      <c r="E13" s="95">
        <v>330000167</v>
      </c>
      <c r="F13" s="36">
        <v>1</v>
      </c>
      <c r="G13" s="7" t="s">
        <v>484</v>
      </c>
      <c r="H13" s="70">
        <v>120</v>
      </c>
      <c r="J13" s="49">
        <v>9</v>
      </c>
      <c r="K13" s="50" t="s">
        <v>189</v>
      </c>
      <c r="L13" s="50" t="s">
        <v>263</v>
      </c>
      <c r="M13" s="50" t="s">
        <v>210</v>
      </c>
      <c r="N13" s="49" t="s">
        <v>225</v>
      </c>
      <c r="O13" s="49">
        <v>3256471201</v>
      </c>
      <c r="P13" s="49">
        <v>13417</v>
      </c>
    </row>
    <row r="14" spans="1:16" ht="20.399999999999999" x14ac:dyDescent="0.3">
      <c r="A14" s="100">
        <v>331150111</v>
      </c>
      <c r="B14" s="6"/>
      <c r="C14" s="52">
        <v>566518</v>
      </c>
      <c r="D14" s="7" t="s">
        <v>15</v>
      </c>
      <c r="E14" s="95">
        <v>330000170</v>
      </c>
      <c r="F14" s="36">
        <v>1</v>
      </c>
      <c r="G14" s="7" t="s">
        <v>485</v>
      </c>
      <c r="H14" s="70">
        <v>120</v>
      </c>
      <c r="J14" s="49">
        <v>10</v>
      </c>
      <c r="K14" s="50" t="s">
        <v>190</v>
      </c>
      <c r="L14" s="50" t="s">
        <v>264</v>
      </c>
      <c r="M14" s="50" t="s">
        <v>211</v>
      </c>
      <c r="N14" s="49" t="s">
        <v>227</v>
      </c>
      <c r="O14" s="49">
        <v>4132032655</v>
      </c>
      <c r="P14" s="49">
        <v>13440</v>
      </c>
    </row>
    <row r="15" spans="1:16" ht="20.399999999999999" x14ac:dyDescent="0.3">
      <c r="A15" s="100">
        <v>331150112</v>
      </c>
      <c r="B15" s="102">
        <v>441150112</v>
      </c>
      <c r="C15" s="53">
        <v>566519</v>
      </c>
      <c r="D15" s="9" t="s">
        <v>16</v>
      </c>
      <c r="E15" s="95">
        <v>330000172</v>
      </c>
      <c r="F15" s="36">
        <v>1</v>
      </c>
      <c r="G15" s="7" t="s">
        <v>486</v>
      </c>
      <c r="H15" s="70">
        <v>120</v>
      </c>
      <c r="J15" s="49">
        <v>11</v>
      </c>
      <c r="K15" s="50" t="s">
        <v>191</v>
      </c>
      <c r="L15" s="50" t="s">
        <v>265</v>
      </c>
      <c r="M15" s="50" t="s">
        <v>212</v>
      </c>
      <c r="N15" s="49" t="s">
        <v>228</v>
      </c>
      <c r="O15" s="49">
        <v>2090199318</v>
      </c>
      <c r="P15" s="49">
        <v>13444</v>
      </c>
    </row>
    <row r="16" spans="1:16" ht="20.399999999999999" x14ac:dyDescent="0.3">
      <c r="A16" s="100">
        <v>331150113</v>
      </c>
      <c r="B16" s="103">
        <v>441150113</v>
      </c>
      <c r="C16" s="52">
        <v>566520</v>
      </c>
      <c r="D16" s="7" t="s">
        <v>17</v>
      </c>
      <c r="E16" s="95">
        <v>330000175</v>
      </c>
      <c r="F16" s="36">
        <v>1</v>
      </c>
      <c r="G16" s="7" t="s">
        <v>487</v>
      </c>
      <c r="H16" s="70">
        <v>120</v>
      </c>
      <c r="J16" s="129">
        <v>12</v>
      </c>
      <c r="K16" s="84" t="s">
        <v>679</v>
      </c>
      <c r="L16" s="84" t="s">
        <v>266</v>
      </c>
      <c r="M16" s="84" t="s">
        <v>219</v>
      </c>
      <c r="N16" s="83" t="s">
        <v>239</v>
      </c>
      <c r="O16" s="83">
        <v>2093482428</v>
      </c>
      <c r="P16" s="49">
        <v>13299</v>
      </c>
    </row>
    <row r="17" spans="1:16" ht="20.399999999999999" x14ac:dyDescent="0.3">
      <c r="A17" s="100">
        <v>331150114</v>
      </c>
      <c r="B17" s="6"/>
      <c r="C17" s="52">
        <v>566521</v>
      </c>
      <c r="D17" s="7" t="s">
        <v>18</v>
      </c>
      <c r="E17" s="95">
        <v>330000178</v>
      </c>
      <c r="F17" s="36">
        <v>1</v>
      </c>
      <c r="G17" s="7" t="s">
        <v>488</v>
      </c>
      <c r="H17" s="70">
        <v>120</v>
      </c>
      <c r="J17" s="130"/>
      <c r="K17" s="84" t="s">
        <v>679</v>
      </c>
      <c r="L17" s="84" t="s">
        <v>266</v>
      </c>
      <c r="M17" s="84" t="s">
        <v>687</v>
      </c>
      <c r="N17" s="83" t="s">
        <v>686</v>
      </c>
      <c r="O17" s="83">
        <v>2093482428</v>
      </c>
      <c r="P17" s="49">
        <v>132348</v>
      </c>
    </row>
    <row r="18" spans="1:16" ht="20.399999999999999" x14ac:dyDescent="0.3">
      <c r="A18" s="100">
        <v>331150115</v>
      </c>
      <c r="B18" s="6"/>
      <c r="C18" s="52">
        <v>566522</v>
      </c>
      <c r="D18" s="7" t="s">
        <v>19</v>
      </c>
      <c r="E18" s="95">
        <v>330000180</v>
      </c>
      <c r="F18" s="36">
        <v>1</v>
      </c>
      <c r="G18" s="7" t="s">
        <v>489</v>
      </c>
      <c r="H18" s="70">
        <v>120</v>
      </c>
      <c r="J18" s="49">
        <v>13</v>
      </c>
      <c r="K18" s="50" t="s">
        <v>192</v>
      </c>
      <c r="L18" s="50" t="s">
        <v>267</v>
      </c>
      <c r="M18" s="50" t="s">
        <v>213</v>
      </c>
      <c r="N18" s="49" t="s">
        <v>229</v>
      </c>
      <c r="O18" s="49">
        <v>2992841846</v>
      </c>
      <c r="P18" s="49">
        <v>13955</v>
      </c>
    </row>
    <row r="19" spans="1:16" ht="21" thickBot="1" x14ac:dyDescent="0.35">
      <c r="A19" s="104">
        <v>331150116</v>
      </c>
      <c r="B19" s="22"/>
      <c r="C19" s="54">
        <v>566523</v>
      </c>
      <c r="D19" s="11" t="s">
        <v>20</v>
      </c>
      <c r="E19" s="95">
        <v>330000184</v>
      </c>
      <c r="F19" s="37">
        <v>1</v>
      </c>
      <c r="G19" s="7" t="s">
        <v>490</v>
      </c>
      <c r="H19" s="70">
        <v>120</v>
      </c>
      <c r="J19" s="49">
        <v>14</v>
      </c>
      <c r="K19" s="50" t="s">
        <v>193</v>
      </c>
      <c r="L19" s="50" t="s">
        <v>268</v>
      </c>
      <c r="M19" s="50" t="s">
        <v>214</v>
      </c>
      <c r="N19" s="49" t="s">
        <v>230</v>
      </c>
      <c r="O19" s="49">
        <v>3050580811</v>
      </c>
      <c r="P19" s="49">
        <v>13470</v>
      </c>
    </row>
    <row r="20" spans="1:16" ht="21.75" customHeight="1" thickBot="1" x14ac:dyDescent="0.35">
      <c r="A20" s="25" t="s">
        <v>21</v>
      </c>
      <c r="B20" s="26"/>
      <c r="C20" s="26"/>
      <c r="D20" s="26"/>
      <c r="E20" s="97"/>
      <c r="F20" s="27"/>
      <c r="G20" s="26"/>
      <c r="H20" s="7"/>
      <c r="J20" s="49">
        <v>15</v>
      </c>
      <c r="K20" s="50" t="s">
        <v>194</v>
      </c>
      <c r="L20" s="50" t="s">
        <v>269</v>
      </c>
      <c r="M20" s="50" t="s">
        <v>215</v>
      </c>
      <c r="N20" s="49" t="s">
        <v>231</v>
      </c>
      <c r="O20" s="49">
        <v>2121544305</v>
      </c>
      <c r="P20" s="49">
        <v>13457</v>
      </c>
    </row>
    <row r="21" spans="1:16" ht="20.399999999999999" x14ac:dyDescent="0.3">
      <c r="A21" s="105">
        <v>332160120</v>
      </c>
      <c r="B21" s="23"/>
      <c r="C21" s="55">
        <v>566541</v>
      </c>
      <c r="D21" s="24" t="s">
        <v>22</v>
      </c>
      <c r="E21" s="95">
        <v>330000186</v>
      </c>
      <c r="F21" s="38">
        <v>2</v>
      </c>
      <c r="G21" s="7" t="s">
        <v>491</v>
      </c>
      <c r="H21" s="70">
        <v>60</v>
      </c>
      <c r="J21" s="49">
        <v>16</v>
      </c>
      <c r="K21" s="50" t="s">
        <v>195</v>
      </c>
      <c r="L21" s="50" t="s">
        <v>270</v>
      </c>
      <c r="M21" s="50" t="s">
        <v>216</v>
      </c>
      <c r="N21" s="49" t="s">
        <v>233</v>
      </c>
      <c r="O21" s="49">
        <v>2062902786</v>
      </c>
      <c r="P21" s="49">
        <v>13604</v>
      </c>
    </row>
    <row r="22" spans="1:16" ht="20.399999999999999" x14ac:dyDescent="0.3">
      <c r="A22" s="70">
        <v>332160123</v>
      </c>
      <c r="B22" s="13"/>
      <c r="C22" s="52">
        <v>566542</v>
      </c>
      <c r="D22" s="7" t="s">
        <v>23</v>
      </c>
      <c r="E22" s="95" t="s">
        <v>788</v>
      </c>
      <c r="F22" s="36">
        <v>2</v>
      </c>
      <c r="G22" s="7" t="s">
        <v>492</v>
      </c>
      <c r="H22" s="70">
        <v>60</v>
      </c>
      <c r="J22" s="49">
        <v>17</v>
      </c>
      <c r="K22" s="50" t="s">
        <v>196</v>
      </c>
      <c r="L22" s="50" t="s">
        <v>271</v>
      </c>
      <c r="M22" s="50" t="s">
        <v>217</v>
      </c>
      <c r="N22" s="49" t="s">
        <v>235</v>
      </c>
      <c r="O22" s="49">
        <v>4281398821</v>
      </c>
      <c r="P22" s="49">
        <v>13705</v>
      </c>
    </row>
    <row r="23" spans="1:16" ht="20.399999999999999" x14ac:dyDescent="0.3">
      <c r="A23" s="100">
        <v>332160118</v>
      </c>
      <c r="B23" s="13"/>
      <c r="C23" s="52">
        <v>566544</v>
      </c>
      <c r="D23" s="7" t="s">
        <v>24</v>
      </c>
      <c r="E23" s="95">
        <v>330000188</v>
      </c>
      <c r="F23" s="36">
        <v>2</v>
      </c>
      <c r="G23" s="7" t="s">
        <v>493</v>
      </c>
      <c r="H23" s="70">
        <v>60</v>
      </c>
      <c r="J23" s="49">
        <v>18</v>
      </c>
      <c r="K23" s="50" t="s">
        <v>197</v>
      </c>
      <c r="L23" s="50" t="s">
        <v>272</v>
      </c>
      <c r="M23" s="50" t="s">
        <v>218</v>
      </c>
      <c r="N23" s="49" t="s">
        <v>238</v>
      </c>
      <c r="O23" s="49">
        <v>4280911511</v>
      </c>
      <c r="P23" s="49">
        <v>13325</v>
      </c>
    </row>
    <row r="24" spans="1:16" ht="20.399999999999999" x14ac:dyDescent="0.3">
      <c r="A24" s="100">
        <v>332160124</v>
      </c>
      <c r="B24" s="13"/>
      <c r="C24" s="52">
        <v>566545</v>
      </c>
      <c r="D24" s="7" t="s">
        <v>25</v>
      </c>
      <c r="E24" s="95">
        <v>330000189</v>
      </c>
      <c r="F24" s="36">
        <v>2</v>
      </c>
      <c r="G24" s="7" t="s">
        <v>494</v>
      </c>
      <c r="H24" s="70">
        <v>60</v>
      </c>
      <c r="J24" s="49">
        <v>19</v>
      </c>
      <c r="K24" s="50" t="s">
        <v>279</v>
      </c>
      <c r="L24" s="50" t="s">
        <v>463</v>
      </c>
      <c r="M24" s="50" t="s">
        <v>286</v>
      </c>
      <c r="N24" s="49" t="s">
        <v>287</v>
      </c>
      <c r="O24" s="49">
        <v>69492980</v>
      </c>
      <c r="P24" s="49">
        <v>131732</v>
      </c>
    </row>
    <row r="25" spans="1:16" ht="20.399999999999999" x14ac:dyDescent="0.3">
      <c r="A25" s="100">
        <v>332160119</v>
      </c>
      <c r="B25" s="13"/>
      <c r="C25" s="52">
        <v>566546</v>
      </c>
      <c r="D25" s="7" t="s">
        <v>26</v>
      </c>
      <c r="E25" s="95">
        <v>330000190</v>
      </c>
      <c r="F25" s="36">
        <v>2</v>
      </c>
      <c r="G25" s="7" t="s">
        <v>495</v>
      </c>
      <c r="H25" s="70">
        <v>60</v>
      </c>
      <c r="J25" s="49">
        <v>20</v>
      </c>
      <c r="K25" s="50" t="s">
        <v>728</v>
      </c>
      <c r="L25" s="50" t="s">
        <v>727</v>
      </c>
      <c r="M25" s="50" t="s">
        <v>460</v>
      </c>
      <c r="N25" s="49" t="s">
        <v>461</v>
      </c>
      <c r="O25" s="49">
        <v>521124867</v>
      </c>
      <c r="P25" s="49">
        <v>132520</v>
      </c>
    </row>
    <row r="26" spans="1:16" ht="20.399999999999999" x14ac:dyDescent="0.3">
      <c r="A26" s="100">
        <v>332160135</v>
      </c>
      <c r="B26" s="13"/>
      <c r="C26" s="52">
        <v>566547</v>
      </c>
      <c r="D26" s="7" t="s">
        <v>27</v>
      </c>
      <c r="E26" s="95">
        <v>330000191</v>
      </c>
      <c r="F26" s="36">
        <v>2</v>
      </c>
      <c r="G26" s="7" t="s">
        <v>496</v>
      </c>
      <c r="H26" s="70">
        <v>60</v>
      </c>
      <c r="J26" s="49">
        <v>21</v>
      </c>
      <c r="K26" s="50" t="s">
        <v>280</v>
      </c>
      <c r="L26" s="50" t="s">
        <v>688</v>
      </c>
      <c r="M26" s="50" t="s">
        <v>281</v>
      </c>
      <c r="N26" s="50" t="s">
        <v>283</v>
      </c>
      <c r="O26" s="49">
        <v>651736919</v>
      </c>
      <c r="P26" s="49">
        <v>131809</v>
      </c>
    </row>
    <row r="27" spans="1:16" ht="20.399999999999999" x14ac:dyDescent="0.3">
      <c r="A27" s="100">
        <v>332160131</v>
      </c>
      <c r="B27" s="13"/>
      <c r="C27" s="52">
        <v>566548</v>
      </c>
      <c r="D27" s="7" t="s">
        <v>28</v>
      </c>
      <c r="E27" s="95">
        <v>330000192</v>
      </c>
      <c r="F27" s="36">
        <v>2</v>
      </c>
      <c r="G27" s="7" t="s">
        <v>497</v>
      </c>
      <c r="H27" s="70">
        <v>60</v>
      </c>
      <c r="J27" s="49">
        <v>22</v>
      </c>
      <c r="K27" s="50" t="s">
        <v>284</v>
      </c>
      <c r="L27" s="50" t="s">
        <v>285</v>
      </c>
      <c r="M27" s="50" t="s">
        <v>288</v>
      </c>
      <c r="N27" s="50" t="s">
        <v>289</v>
      </c>
      <c r="O27" s="49">
        <v>41154176479</v>
      </c>
      <c r="P27" s="49">
        <v>131692</v>
      </c>
    </row>
    <row r="28" spans="1:16" ht="20.399999999999999" x14ac:dyDescent="0.3">
      <c r="A28" s="70">
        <v>332160132</v>
      </c>
      <c r="B28" s="13"/>
      <c r="C28" s="52">
        <v>566549</v>
      </c>
      <c r="D28" s="7" t="s">
        <v>29</v>
      </c>
      <c r="E28" s="95" t="s">
        <v>788</v>
      </c>
      <c r="F28" s="36">
        <v>2</v>
      </c>
      <c r="G28" s="7" t="s">
        <v>498</v>
      </c>
      <c r="H28" s="70">
        <v>60</v>
      </c>
      <c r="J28" s="129">
        <v>23</v>
      </c>
      <c r="K28" s="84" t="s">
        <v>466</v>
      </c>
      <c r="L28" s="84" t="s">
        <v>290</v>
      </c>
      <c r="M28" s="84" t="s">
        <v>291</v>
      </c>
      <c r="N28" s="84" t="s">
        <v>469</v>
      </c>
      <c r="O28" s="83">
        <v>1270838083</v>
      </c>
      <c r="P28" s="49">
        <v>132259</v>
      </c>
    </row>
    <row r="29" spans="1:16" ht="20.399999999999999" x14ac:dyDescent="0.3">
      <c r="A29" s="70">
        <v>332160129</v>
      </c>
      <c r="B29" s="13"/>
      <c r="C29" s="52">
        <v>566550</v>
      </c>
      <c r="D29" s="7" t="s">
        <v>30</v>
      </c>
      <c r="E29" s="95" t="s">
        <v>788</v>
      </c>
      <c r="F29" s="36">
        <v>2</v>
      </c>
      <c r="G29" s="7" t="s">
        <v>499</v>
      </c>
      <c r="H29" s="70">
        <v>60</v>
      </c>
      <c r="J29" s="130"/>
      <c r="K29" s="84" t="s">
        <v>466</v>
      </c>
      <c r="L29" s="84" t="s">
        <v>290</v>
      </c>
      <c r="M29" s="84" t="s">
        <v>291</v>
      </c>
      <c r="N29" s="84" t="s">
        <v>469</v>
      </c>
      <c r="O29" s="83">
        <v>1270838083</v>
      </c>
      <c r="P29" s="49">
        <v>131911</v>
      </c>
    </row>
    <row r="30" spans="1:16" ht="20.399999999999999" x14ac:dyDescent="0.3">
      <c r="A30" s="100">
        <v>332160122</v>
      </c>
      <c r="B30" s="13"/>
      <c r="C30" s="53">
        <v>566556</v>
      </c>
      <c r="D30" s="7" t="s">
        <v>31</v>
      </c>
      <c r="E30" s="95">
        <v>330000193</v>
      </c>
      <c r="F30" s="36">
        <v>2</v>
      </c>
      <c r="G30" s="7" t="s">
        <v>500</v>
      </c>
      <c r="H30" s="70">
        <v>60</v>
      </c>
      <c r="J30" s="50">
        <v>24</v>
      </c>
      <c r="K30" s="50" t="s">
        <v>319</v>
      </c>
      <c r="L30" s="50" t="s">
        <v>320</v>
      </c>
      <c r="M30" s="50" t="s">
        <v>321</v>
      </c>
      <c r="N30" s="50" t="s">
        <v>322</v>
      </c>
      <c r="O30" s="71">
        <v>411488338886</v>
      </c>
      <c r="P30" s="49">
        <v>131946</v>
      </c>
    </row>
    <row r="31" spans="1:16" ht="20.399999999999999" x14ac:dyDescent="0.3">
      <c r="A31" s="100">
        <v>332160128</v>
      </c>
      <c r="B31" s="13"/>
      <c r="C31" s="52">
        <v>566557</v>
      </c>
      <c r="D31" s="7" t="s">
        <v>32</v>
      </c>
      <c r="E31" s="95">
        <v>330000195</v>
      </c>
      <c r="F31" s="36">
        <v>2</v>
      </c>
      <c r="G31" s="7" t="s">
        <v>501</v>
      </c>
      <c r="H31" s="70">
        <v>60</v>
      </c>
      <c r="J31" s="49">
        <v>25</v>
      </c>
      <c r="K31" s="50" t="s">
        <v>326</v>
      </c>
      <c r="L31" s="50" t="s">
        <v>323</v>
      </c>
      <c r="M31" s="50" t="s">
        <v>325</v>
      </c>
      <c r="N31" s="50" t="s">
        <v>324</v>
      </c>
      <c r="O31" s="49">
        <v>653300956</v>
      </c>
      <c r="P31" s="49">
        <v>131808</v>
      </c>
    </row>
    <row r="32" spans="1:16" ht="20.399999999999999" x14ac:dyDescent="0.3">
      <c r="A32" s="100">
        <v>332160117</v>
      </c>
      <c r="B32" s="13"/>
      <c r="C32" s="52">
        <v>566559</v>
      </c>
      <c r="D32" s="7" t="s">
        <v>33</v>
      </c>
      <c r="E32" s="95">
        <v>330000196</v>
      </c>
      <c r="F32" s="36">
        <v>2</v>
      </c>
      <c r="G32" s="7" t="s">
        <v>502</v>
      </c>
      <c r="H32" s="70">
        <v>60</v>
      </c>
      <c r="J32" s="49">
        <v>26</v>
      </c>
      <c r="K32" s="50" t="s">
        <v>327</v>
      </c>
      <c r="L32" s="50" t="s">
        <v>329</v>
      </c>
      <c r="M32" s="50" t="s">
        <v>328</v>
      </c>
      <c r="N32" s="50" t="s">
        <v>330</v>
      </c>
      <c r="O32" s="49">
        <v>4320665422</v>
      </c>
      <c r="P32" s="49">
        <v>131901</v>
      </c>
    </row>
    <row r="33" spans="1:16" ht="20.399999999999999" x14ac:dyDescent="0.3">
      <c r="A33" s="100">
        <v>332160133</v>
      </c>
      <c r="B33" s="13"/>
      <c r="C33" s="52">
        <v>566560</v>
      </c>
      <c r="D33" s="7" t="s">
        <v>34</v>
      </c>
      <c r="E33" s="95">
        <v>330000197</v>
      </c>
      <c r="F33" s="36">
        <v>2</v>
      </c>
      <c r="G33" s="7" t="s">
        <v>503</v>
      </c>
      <c r="H33" s="70">
        <v>60</v>
      </c>
      <c r="J33" s="49">
        <v>27</v>
      </c>
      <c r="K33" s="50" t="s">
        <v>331</v>
      </c>
      <c r="L33" s="50" t="s">
        <v>332</v>
      </c>
      <c r="M33" s="50" t="s">
        <v>333</v>
      </c>
      <c r="N33" s="50" t="s">
        <v>334</v>
      </c>
      <c r="O33" s="71">
        <v>411544894683</v>
      </c>
      <c r="P33" s="49">
        <v>131660</v>
      </c>
    </row>
    <row r="34" spans="1:16" ht="20.399999999999999" x14ac:dyDescent="0.3">
      <c r="A34" s="100">
        <v>332160115</v>
      </c>
      <c r="B34" s="14"/>
      <c r="C34" s="53">
        <v>566561</v>
      </c>
      <c r="D34" s="7" t="s">
        <v>35</v>
      </c>
      <c r="E34" s="95">
        <v>330000198</v>
      </c>
      <c r="F34" s="36">
        <v>2</v>
      </c>
      <c r="G34" s="7" t="s">
        <v>504</v>
      </c>
      <c r="H34" s="70">
        <v>60</v>
      </c>
      <c r="J34" s="49">
        <v>28</v>
      </c>
      <c r="K34" s="50" t="s">
        <v>335</v>
      </c>
      <c r="L34" s="50" t="s">
        <v>336</v>
      </c>
      <c r="M34" s="50" t="s">
        <v>337</v>
      </c>
      <c r="N34" s="50" t="s">
        <v>338</v>
      </c>
      <c r="O34" s="49">
        <v>44323485801</v>
      </c>
      <c r="P34" s="49">
        <v>131871</v>
      </c>
    </row>
    <row r="35" spans="1:16" ht="20.399999999999999" x14ac:dyDescent="0.3">
      <c r="A35" s="100">
        <v>332160116</v>
      </c>
      <c r="B35" s="13"/>
      <c r="C35" s="52">
        <v>566562</v>
      </c>
      <c r="D35" s="7" t="s">
        <v>36</v>
      </c>
      <c r="E35" s="95">
        <v>330000199</v>
      </c>
      <c r="F35" s="36">
        <v>2</v>
      </c>
      <c r="G35" s="7" t="s">
        <v>505</v>
      </c>
      <c r="H35" s="70">
        <v>60</v>
      </c>
      <c r="J35" s="50">
        <v>29</v>
      </c>
      <c r="K35" s="50" t="s">
        <v>339</v>
      </c>
      <c r="L35" s="50" t="s">
        <v>340</v>
      </c>
      <c r="M35" s="50" t="s">
        <v>341</v>
      </c>
      <c r="N35" s="50" t="s">
        <v>342</v>
      </c>
      <c r="O35" s="49">
        <v>2140250303</v>
      </c>
      <c r="P35" s="49">
        <v>131974</v>
      </c>
    </row>
    <row r="36" spans="1:16" ht="20.399999999999999" x14ac:dyDescent="0.3">
      <c r="A36" s="100">
        <v>332160121</v>
      </c>
      <c r="B36" s="13"/>
      <c r="C36" s="52">
        <v>566563</v>
      </c>
      <c r="D36" s="7" t="s">
        <v>37</v>
      </c>
      <c r="E36" s="95">
        <v>330000200</v>
      </c>
      <c r="F36" s="36">
        <v>2</v>
      </c>
      <c r="G36" s="7" t="s">
        <v>506</v>
      </c>
      <c r="H36" s="70">
        <v>60</v>
      </c>
      <c r="J36" s="49">
        <v>30</v>
      </c>
      <c r="K36" s="50" t="s">
        <v>343</v>
      </c>
      <c r="L36" s="50" t="s">
        <v>344</v>
      </c>
      <c r="M36" s="50" t="s">
        <v>345</v>
      </c>
      <c r="N36" s="50" t="s">
        <v>346</v>
      </c>
      <c r="O36" s="49">
        <v>1360822194</v>
      </c>
      <c r="P36" s="49">
        <v>131973</v>
      </c>
    </row>
    <row r="37" spans="1:16" ht="20.399999999999999" x14ac:dyDescent="0.3">
      <c r="A37" s="70">
        <v>332160136</v>
      </c>
      <c r="B37" s="13"/>
      <c r="C37" s="52">
        <v>566564</v>
      </c>
      <c r="D37" s="7" t="s">
        <v>38</v>
      </c>
      <c r="E37" s="95">
        <v>330000201</v>
      </c>
      <c r="F37" s="36">
        <v>2</v>
      </c>
      <c r="G37" s="7" t="s">
        <v>507</v>
      </c>
      <c r="H37" s="70">
        <v>60</v>
      </c>
      <c r="J37" s="49">
        <v>31</v>
      </c>
      <c r="K37" s="50" t="s">
        <v>347</v>
      </c>
      <c r="L37" s="50" t="s">
        <v>350</v>
      </c>
      <c r="M37" s="50" t="s">
        <v>348</v>
      </c>
      <c r="N37" s="50" t="s">
        <v>349</v>
      </c>
      <c r="O37" s="49">
        <v>1465790705</v>
      </c>
      <c r="P37" s="49">
        <v>132006</v>
      </c>
    </row>
    <row r="38" spans="1:16" ht="21" thickBot="1" x14ac:dyDescent="0.35">
      <c r="A38" s="106">
        <v>332160130</v>
      </c>
      <c r="B38" s="15"/>
      <c r="C38" s="56">
        <v>566565</v>
      </c>
      <c r="D38" s="7" t="s">
        <v>39</v>
      </c>
      <c r="E38" s="95">
        <v>330000202</v>
      </c>
      <c r="F38" s="36">
        <v>2</v>
      </c>
      <c r="G38" s="7" t="s">
        <v>508</v>
      </c>
      <c r="H38" s="70">
        <v>60</v>
      </c>
      <c r="J38" s="129">
        <v>32</v>
      </c>
      <c r="K38" s="84" t="s">
        <v>470</v>
      </c>
      <c r="L38" s="84" t="s">
        <v>351</v>
      </c>
      <c r="M38" s="84" t="s">
        <v>471</v>
      </c>
      <c r="N38" s="84" t="s">
        <v>352</v>
      </c>
      <c r="O38" s="83">
        <v>4430601992</v>
      </c>
      <c r="P38" s="49">
        <v>132304</v>
      </c>
    </row>
    <row r="39" spans="1:16" ht="21.75" customHeight="1" thickBot="1" x14ac:dyDescent="0.35">
      <c r="A39" s="25" t="s">
        <v>40</v>
      </c>
      <c r="B39" s="26"/>
      <c r="C39" s="26"/>
      <c r="D39" s="26"/>
      <c r="E39" s="97"/>
      <c r="F39" s="27"/>
      <c r="G39" s="26"/>
      <c r="H39" s="7"/>
      <c r="J39" s="130"/>
      <c r="K39" s="84" t="s">
        <v>470</v>
      </c>
      <c r="L39" s="84" t="s">
        <v>351</v>
      </c>
      <c r="M39" s="84" t="s">
        <v>471</v>
      </c>
      <c r="N39" s="84" t="s">
        <v>352</v>
      </c>
      <c r="O39" s="83">
        <v>4430601992</v>
      </c>
      <c r="P39" s="49">
        <v>13310</v>
      </c>
    </row>
    <row r="40" spans="1:16" ht="20.399999999999999" x14ac:dyDescent="0.3">
      <c r="A40" s="101">
        <v>333170101</v>
      </c>
      <c r="B40" s="12"/>
      <c r="C40" s="51">
        <v>566581</v>
      </c>
      <c r="D40" s="4" t="s">
        <v>41</v>
      </c>
      <c r="E40" s="95">
        <v>330000203</v>
      </c>
      <c r="F40" s="36">
        <v>3</v>
      </c>
      <c r="G40" s="7" t="s">
        <v>509</v>
      </c>
      <c r="H40" s="70">
        <v>40</v>
      </c>
      <c r="J40" s="49">
        <v>33</v>
      </c>
      <c r="K40" s="50" t="s">
        <v>353</v>
      </c>
      <c r="L40" s="50" t="s">
        <v>354</v>
      </c>
      <c r="M40" s="50" t="s">
        <v>355</v>
      </c>
      <c r="N40" s="50" t="s">
        <v>359</v>
      </c>
      <c r="O40" s="49">
        <v>1375784528</v>
      </c>
      <c r="P40" s="49">
        <v>13700</v>
      </c>
    </row>
    <row r="41" spans="1:16" ht="20.399999999999999" x14ac:dyDescent="0.3">
      <c r="A41" s="107">
        <v>333170102</v>
      </c>
      <c r="B41" s="13"/>
      <c r="C41" s="52">
        <v>566582</v>
      </c>
      <c r="D41" s="7" t="s">
        <v>42</v>
      </c>
      <c r="E41" s="95">
        <v>330000204</v>
      </c>
      <c r="F41" s="36">
        <v>3</v>
      </c>
      <c r="G41" s="7" t="s">
        <v>510</v>
      </c>
      <c r="H41" s="70">
        <v>40</v>
      </c>
      <c r="J41" s="49">
        <v>34</v>
      </c>
      <c r="K41" s="50" t="s">
        <v>356</v>
      </c>
      <c r="L41" s="50" t="s">
        <v>357</v>
      </c>
      <c r="M41" s="50" t="s">
        <v>358</v>
      </c>
      <c r="N41" s="50" t="s">
        <v>360</v>
      </c>
      <c r="O41" s="49">
        <v>3875638271</v>
      </c>
      <c r="P41" s="49">
        <v>131818</v>
      </c>
    </row>
    <row r="42" spans="1:16" ht="20.399999999999999" x14ac:dyDescent="0.3">
      <c r="A42" s="100">
        <v>333170103</v>
      </c>
      <c r="B42" s="13"/>
      <c r="C42" s="52">
        <v>566584</v>
      </c>
      <c r="D42" s="7" t="s">
        <v>43</v>
      </c>
      <c r="E42" s="95">
        <v>330000206</v>
      </c>
      <c r="F42" s="36">
        <v>3</v>
      </c>
      <c r="G42" s="7" t="s">
        <v>511</v>
      </c>
      <c r="H42" s="70">
        <v>40</v>
      </c>
      <c r="J42" s="49" t="s">
        <v>367</v>
      </c>
      <c r="K42" s="50" t="s">
        <v>370</v>
      </c>
      <c r="L42" s="50"/>
      <c r="M42" s="50" t="s">
        <v>368</v>
      </c>
      <c r="N42" s="50" t="s">
        <v>369</v>
      </c>
      <c r="O42" s="71">
        <v>411111713181</v>
      </c>
      <c r="P42" s="49">
        <v>13515</v>
      </c>
    </row>
    <row r="43" spans="1:16" ht="20.399999999999999" x14ac:dyDescent="0.3">
      <c r="A43" s="100">
        <v>333170104</v>
      </c>
      <c r="B43" s="13"/>
      <c r="C43" s="52">
        <v>566585</v>
      </c>
      <c r="D43" s="7" t="s">
        <v>44</v>
      </c>
      <c r="E43" s="95">
        <v>330000208</v>
      </c>
      <c r="F43" s="36">
        <v>3</v>
      </c>
      <c r="G43" s="7" t="s">
        <v>512</v>
      </c>
      <c r="H43" s="70">
        <v>40</v>
      </c>
      <c r="J43" s="49" t="s">
        <v>457</v>
      </c>
      <c r="K43" s="50" t="s">
        <v>458</v>
      </c>
      <c r="L43" s="50" t="s">
        <v>459</v>
      </c>
      <c r="M43" s="50" t="s">
        <v>464</v>
      </c>
      <c r="N43" s="50" t="s">
        <v>465</v>
      </c>
      <c r="O43" s="49">
        <v>1830607251</v>
      </c>
      <c r="P43" s="49">
        <v>132315</v>
      </c>
    </row>
    <row r="44" spans="1:16" ht="20.399999999999999" x14ac:dyDescent="0.3">
      <c r="A44" s="100">
        <v>333170105</v>
      </c>
      <c r="B44" s="13"/>
      <c r="C44" s="52">
        <v>566586</v>
      </c>
      <c r="D44" s="7" t="s">
        <v>45</v>
      </c>
      <c r="E44" s="95">
        <v>330000209</v>
      </c>
      <c r="F44" s="36">
        <v>3</v>
      </c>
      <c r="G44" s="7" t="s">
        <v>513</v>
      </c>
      <c r="H44" s="70">
        <v>40</v>
      </c>
      <c r="J44" s="49" t="s">
        <v>462</v>
      </c>
      <c r="K44" s="50" t="s">
        <v>784</v>
      </c>
      <c r="L44" s="50" t="s">
        <v>468</v>
      </c>
      <c r="M44" s="50" t="s">
        <v>286</v>
      </c>
      <c r="N44" s="50" t="s">
        <v>287</v>
      </c>
      <c r="O44" s="49">
        <v>80125220</v>
      </c>
      <c r="P44" s="49">
        <v>132307</v>
      </c>
    </row>
    <row r="45" spans="1:16" ht="20.399999999999999" x14ac:dyDescent="0.3">
      <c r="A45" s="100">
        <v>333170106</v>
      </c>
      <c r="B45" s="13"/>
      <c r="C45" s="52">
        <v>566587</v>
      </c>
      <c r="D45" s="7" t="s">
        <v>46</v>
      </c>
      <c r="E45" s="95">
        <v>330000211</v>
      </c>
      <c r="F45" s="36">
        <v>3</v>
      </c>
      <c r="G45" s="7" t="s">
        <v>514</v>
      </c>
      <c r="H45" s="70">
        <v>40</v>
      </c>
      <c r="J45" s="49">
        <v>38</v>
      </c>
      <c r="K45" s="50" t="s">
        <v>676</v>
      </c>
      <c r="L45" s="50" t="s">
        <v>273</v>
      </c>
      <c r="M45" s="50" t="s">
        <v>677</v>
      </c>
      <c r="N45" s="50" t="s">
        <v>678</v>
      </c>
      <c r="O45" s="71">
        <v>14009714480</v>
      </c>
      <c r="P45" s="49">
        <v>132478</v>
      </c>
    </row>
    <row r="46" spans="1:16" ht="20.399999999999999" x14ac:dyDescent="0.3">
      <c r="A46" s="100">
        <v>333170107</v>
      </c>
      <c r="B46" s="13"/>
      <c r="C46" s="52">
        <v>566588</v>
      </c>
      <c r="D46" s="7" t="s">
        <v>47</v>
      </c>
      <c r="E46" s="95">
        <v>330000213</v>
      </c>
      <c r="F46" s="36">
        <v>3</v>
      </c>
      <c r="G46" s="7" t="s">
        <v>515</v>
      </c>
      <c r="H46" s="70">
        <v>40</v>
      </c>
      <c r="J46" s="49">
        <v>39</v>
      </c>
      <c r="K46" s="50" t="s">
        <v>680</v>
      </c>
      <c r="L46" s="50" t="s">
        <v>681</v>
      </c>
      <c r="M46" s="50" t="s">
        <v>683</v>
      </c>
      <c r="N46" s="50" t="s">
        <v>682</v>
      </c>
      <c r="O46" s="71">
        <v>411151137655</v>
      </c>
      <c r="P46" s="49">
        <v>132287</v>
      </c>
    </row>
    <row r="47" spans="1:16" ht="20.399999999999999" x14ac:dyDescent="0.3">
      <c r="A47" s="100">
        <v>333170118</v>
      </c>
      <c r="B47" s="13"/>
      <c r="C47" s="52">
        <v>566589</v>
      </c>
      <c r="D47" s="7" t="s">
        <v>48</v>
      </c>
      <c r="E47" s="95">
        <v>330000215</v>
      </c>
      <c r="F47" s="36">
        <v>3</v>
      </c>
      <c r="G47" s="7" t="s">
        <v>516</v>
      </c>
      <c r="H47" s="70">
        <v>40</v>
      </c>
      <c r="J47" s="49">
        <v>40</v>
      </c>
      <c r="K47" s="50" t="s">
        <v>712</v>
      </c>
      <c r="L47" s="50" t="s">
        <v>711</v>
      </c>
      <c r="M47" s="50" t="s">
        <v>710</v>
      </c>
      <c r="N47" s="50" t="s">
        <v>713</v>
      </c>
      <c r="O47" s="71">
        <v>3149933961</v>
      </c>
      <c r="P47" s="49">
        <v>132513</v>
      </c>
    </row>
    <row r="48" spans="1:16" ht="20.399999999999999" x14ac:dyDescent="0.3">
      <c r="A48" s="5"/>
      <c r="B48" s="13"/>
      <c r="C48" s="52"/>
      <c r="D48" s="7"/>
      <c r="E48" s="95"/>
      <c r="F48" s="36"/>
      <c r="G48" s="7"/>
      <c r="H48" s="7"/>
      <c r="J48" s="49">
        <v>41</v>
      </c>
      <c r="K48" s="50" t="s">
        <v>696</v>
      </c>
      <c r="L48" s="50" t="s">
        <v>697</v>
      </c>
      <c r="M48" s="50" t="s">
        <v>698</v>
      </c>
      <c r="N48" s="50" t="s">
        <v>699</v>
      </c>
      <c r="O48" s="71">
        <v>1881505766</v>
      </c>
      <c r="P48" s="49">
        <v>132508</v>
      </c>
    </row>
    <row r="49" spans="1:16" ht="20.399999999999999" x14ac:dyDescent="0.3">
      <c r="A49" s="5"/>
      <c r="B49" s="13"/>
      <c r="C49" s="52"/>
      <c r="D49" s="7"/>
      <c r="E49" s="95"/>
      <c r="F49" s="36"/>
      <c r="G49" s="7"/>
      <c r="H49" s="7"/>
      <c r="J49" s="49">
        <v>42</v>
      </c>
      <c r="K49" s="50" t="s">
        <v>700</v>
      </c>
      <c r="L49" s="50" t="s">
        <v>290</v>
      </c>
      <c r="M49" s="50" t="s">
        <v>701</v>
      </c>
      <c r="N49" s="50" t="s">
        <v>702</v>
      </c>
      <c r="O49" s="71">
        <v>140110034189</v>
      </c>
      <c r="P49" s="49">
        <v>132492</v>
      </c>
    </row>
    <row r="50" spans="1:16" ht="20.399999999999999" x14ac:dyDescent="0.3">
      <c r="A50" s="5"/>
      <c r="B50" s="13"/>
      <c r="C50" s="52"/>
      <c r="D50" s="7"/>
      <c r="E50" s="95"/>
      <c r="F50" s="36"/>
      <c r="G50" s="7"/>
      <c r="H50" s="7"/>
      <c r="J50" s="49">
        <v>43</v>
      </c>
      <c r="K50" s="50" t="s">
        <v>794</v>
      </c>
      <c r="L50" s="50" t="s">
        <v>793</v>
      </c>
      <c r="M50" s="50" t="s">
        <v>796</v>
      </c>
      <c r="N50" s="50" t="s">
        <v>795</v>
      </c>
      <c r="O50" s="71">
        <v>1540234576</v>
      </c>
      <c r="P50" s="49">
        <v>132579</v>
      </c>
    </row>
    <row r="51" spans="1:16" ht="20.399999999999999" x14ac:dyDescent="0.3">
      <c r="A51" s="5"/>
      <c r="B51" s="13"/>
      <c r="C51" s="52"/>
      <c r="D51" s="7"/>
      <c r="E51" s="95"/>
      <c r="F51" s="36"/>
      <c r="G51" s="7"/>
      <c r="H51" s="7"/>
      <c r="J51" s="49">
        <v>44</v>
      </c>
      <c r="K51" s="50" t="s">
        <v>703</v>
      </c>
      <c r="L51" s="50" t="s">
        <v>262</v>
      </c>
      <c r="M51" s="50" t="s">
        <v>709</v>
      </c>
      <c r="N51" s="49" t="s">
        <v>708</v>
      </c>
      <c r="O51" s="71">
        <v>140059758541</v>
      </c>
      <c r="P51" s="49">
        <v>132503</v>
      </c>
    </row>
    <row r="52" spans="1:16" ht="20.399999999999999" x14ac:dyDescent="0.3">
      <c r="A52" s="100">
        <v>333170117</v>
      </c>
      <c r="B52" s="13"/>
      <c r="C52" s="52">
        <v>566590</v>
      </c>
      <c r="D52" s="7" t="s">
        <v>49</v>
      </c>
      <c r="E52" s="95">
        <v>330000218</v>
      </c>
      <c r="F52" s="36">
        <v>3</v>
      </c>
      <c r="G52" s="7" t="s">
        <v>517</v>
      </c>
      <c r="H52" s="70">
        <v>40</v>
      </c>
      <c r="J52" s="49">
        <v>45</v>
      </c>
      <c r="K52" s="50" t="s">
        <v>689</v>
      </c>
      <c r="L52" s="50" t="s">
        <v>340</v>
      </c>
      <c r="M52" s="50" t="s">
        <v>690</v>
      </c>
      <c r="N52" s="50" t="s">
        <v>691</v>
      </c>
      <c r="O52" s="71">
        <v>14005619546</v>
      </c>
      <c r="P52" s="49">
        <v>132506</v>
      </c>
    </row>
    <row r="53" spans="1:16" ht="20.399999999999999" x14ac:dyDescent="0.3">
      <c r="A53" s="100">
        <v>333170108</v>
      </c>
      <c r="B53" s="13"/>
      <c r="C53" s="53">
        <v>566596</v>
      </c>
      <c r="D53" s="7" t="s">
        <v>50</v>
      </c>
      <c r="E53" s="95">
        <v>330000220</v>
      </c>
      <c r="F53" s="36">
        <v>3</v>
      </c>
      <c r="G53" s="7" t="s">
        <v>518</v>
      </c>
      <c r="H53" s="70">
        <v>40</v>
      </c>
      <c r="J53" s="49">
        <v>46</v>
      </c>
      <c r="K53" s="50" t="s">
        <v>692</v>
      </c>
      <c r="L53" s="50" t="s">
        <v>694</v>
      </c>
      <c r="M53" s="50" t="s">
        <v>695</v>
      </c>
      <c r="N53" s="50" t="s">
        <v>693</v>
      </c>
      <c r="O53" s="71">
        <v>4610397994</v>
      </c>
      <c r="P53" s="49">
        <v>132505</v>
      </c>
    </row>
    <row r="54" spans="1:16" ht="20.399999999999999" x14ac:dyDescent="0.3">
      <c r="A54" s="100">
        <v>333170109</v>
      </c>
      <c r="B54" s="13"/>
      <c r="C54" s="52">
        <v>566597</v>
      </c>
      <c r="D54" s="7" t="s">
        <v>51</v>
      </c>
      <c r="E54" s="95">
        <v>330000221</v>
      </c>
      <c r="F54" s="36">
        <v>3</v>
      </c>
      <c r="G54" s="7" t="s">
        <v>519</v>
      </c>
      <c r="H54" s="70">
        <v>40</v>
      </c>
      <c r="J54" s="49">
        <v>47</v>
      </c>
      <c r="K54" s="50" t="s">
        <v>704</v>
      </c>
      <c r="L54" s="50" t="s">
        <v>705</v>
      </c>
      <c r="M54" s="50" t="s">
        <v>706</v>
      </c>
      <c r="N54" s="50" t="s">
        <v>707</v>
      </c>
      <c r="O54" s="71">
        <v>4111347436171</v>
      </c>
      <c r="P54" s="49">
        <v>13410</v>
      </c>
    </row>
    <row r="55" spans="1:16" ht="20.399999999999999" x14ac:dyDescent="0.3">
      <c r="A55" s="100">
        <v>333170110</v>
      </c>
      <c r="B55" s="13"/>
      <c r="C55" s="52">
        <v>566599</v>
      </c>
      <c r="D55" s="7" t="s">
        <v>52</v>
      </c>
      <c r="E55" s="95">
        <v>330000223</v>
      </c>
      <c r="F55" s="36">
        <v>3</v>
      </c>
      <c r="G55" s="7" t="s">
        <v>520</v>
      </c>
      <c r="H55" s="70">
        <v>40</v>
      </c>
      <c r="J55" s="49">
        <v>49</v>
      </c>
      <c r="K55" s="50" t="s">
        <v>723</v>
      </c>
      <c r="L55" s="50" t="s">
        <v>714</v>
      </c>
      <c r="M55" s="50" t="s">
        <v>715</v>
      </c>
      <c r="N55" s="50" t="s">
        <v>717</v>
      </c>
      <c r="O55" s="50" t="s">
        <v>716</v>
      </c>
      <c r="P55" s="49">
        <v>132519</v>
      </c>
    </row>
    <row r="56" spans="1:16" ht="20.399999999999999" x14ac:dyDescent="0.3">
      <c r="A56" s="100">
        <v>333170111</v>
      </c>
      <c r="B56" s="13"/>
      <c r="C56" s="52">
        <v>566600</v>
      </c>
      <c r="D56" s="7" t="s">
        <v>53</v>
      </c>
      <c r="E56" s="95">
        <v>330000225</v>
      </c>
      <c r="F56" s="36">
        <v>3</v>
      </c>
      <c r="G56" s="7" t="s">
        <v>521</v>
      </c>
      <c r="H56" s="70">
        <v>40</v>
      </c>
      <c r="J56" s="49">
        <v>50</v>
      </c>
      <c r="K56" s="50" t="s">
        <v>718</v>
      </c>
      <c r="L56" s="50" t="s">
        <v>719</v>
      </c>
      <c r="M56" s="50" t="s">
        <v>721</v>
      </c>
      <c r="N56" s="50" t="s">
        <v>720</v>
      </c>
      <c r="O56" s="50" t="s">
        <v>722</v>
      </c>
      <c r="P56" s="49">
        <v>132364</v>
      </c>
    </row>
    <row r="57" spans="1:16" ht="23.4" x14ac:dyDescent="0.3">
      <c r="A57" s="100">
        <v>333170112</v>
      </c>
      <c r="B57" s="14"/>
      <c r="C57" s="53">
        <v>566601</v>
      </c>
      <c r="D57" s="9" t="s">
        <v>54</v>
      </c>
      <c r="E57" s="95">
        <v>330000227</v>
      </c>
      <c r="F57" s="36">
        <v>3</v>
      </c>
      <c r="G57" s="7" t="s">
        <v>522</v>
      </c>
      <c r="H57" s="70">
        <v>40</v>
      </c>
      <c r="J57" s="49">
        <v>51</v>
      </c>
      <c r="K57" s="50" t="s">
        <v>787</v>
      </c>
      <c r="L57" s="50" t="s">
        <v>725</v>
      </c>
      <c r="M57" s="93" t="s">
        <v>785</v>
      </c>
      <c r="N57" s="50" t="s">
        <v>786</v>
      </c>
      <c r="O57" s="50" t="s">
        <v>724</v>
      </c>
      <c r="P57" s="49">
        <v>132526</v>
      </c>
    </row>
    <row r="58" spans="1:16" ht="20.399999999999999" x14ac:dyDescent="0.3">
      <c r="A58" s="100">
        <v>333170113</v>
      </c>
      <c r="B58" s="13"/>
      <c r="C58" s="52">
        <v>566602</v>
      </c>
      <c r="D58" s="7" t="s">
        <v>55</v>
      </c>
      <c r="E58" s="95">
        <v>330000229</v>
      </c>
      <c r="F58" s="36">
        <v>3</v>
      </c>
      <c r="G58" s="7" t="s">
        <v>523</v>
      </c>
      <c r="H58" s="70">
        <v>40</v>
      </c>
      <c r="J58" s="49">
        <v>52</v>
      </c>
      <c r="K58" s="50" t="s">
        <v>728</v>
      </c>
      <c r="L58" s="50" t="s">
        <v>726</v>
      </c>
      <c r="M58" s="50" t="s">
        <v>729</v>
      </c>
      <c r="N58" s="50" t="s">
        <v>731</v>
      </c>
      <c r="O58" s="50" t="s">
        <v>730</v>
      </c>
      <c r="P58" s="49">
        <v>132521</v>
      </c>
    </row>
    <row r="59" spans="1:16" ht="20.399999999999999" x14ac:dyDescent="0.3">
      <c r="A59" s="100">
        <v>333170114</v>
      </c>
      <c r="B59" s="13"/>
      <c r="C59" s="52">
        <v>566603</v>
      </c>
      <c r="D59" s="7" t="s">
        <v>56</v>
      </c>
      <c r="E59" s="95">
        <v>330000231</v>
      </c>
      <c r="F59" s="36">
        <v>3</v>
      </c>
      <c r="G59" s="7" t="s">
        <v>524</v>
      </c>
      <c r="H59" s="70">
        <v>40</v>
      </c>
      <c r="J59" s="49">
        <v>53</v>
      </c>
      <c r="K59" s="50" t="s">
        <v>732</v>
      </c>
      <c r="L59" s="50" t="s">
        <v>733</v>
      </c>
      <c r="M59" s="50" t="s">
        <v>734</v>
      </c>
      <c r="N59" s="50" t="s">
        <v>735</v>
      </c>
      <c r="O59" s="50" t="s">
        <v>736</v>
      </c>
      <c r="P59" s="49">
        <v>132515</v>
      </c>
    </row>
    <row r="60" spans="1:16" ht="20.399999999999999" x14ac:dyDescent="0.3">
      <c r="A60" s="100">
        <v>333170115</v>
      </c>
      <c r="B60" s="13"/>
      <c r="C60" s="52">
        <v>566604</v>
      </c>
      <c r="D60" s="7" t="s">
        <v>57</v>
      </c>
      <c r="E60" s="95">
        <v>330000233</v>
      </c>
      <c r="F60" s="36">
        <v>3</v>
      </c>
      <c r="G60" s="7" t="s">
        <v>525</v>
      </c>
      <c r="H60" s="70">
        <v>40</v>
      </c>
      <c r="J60" s="49">
        <v>54</v>
      </c>
      <c r="K60" s="50" t="s">
        <v>737</v>
      </c>
      <c r="L60" s="50" t="s">
        <v>738</v>
      </c>
      <c r="M60" s="50" t="s">
        <v>739</v>
      </c>
      <c r="N60" s="50" t="s">
        <v>740</v>
      </c>
      <c r="O60" s="50" t="s">
        <v>741</v>
      </c>
      <c r="P60" s="49">
        <v>13429</v>
      </c>
    </row>
    <row r="61" spans="1:16" ht="21" thickBot="1" x14ac:dyDescent="0.35">
      <c r="A61" s="108">
        <v>333170116</v>
      </c>
      <c r="B61" s="15"/>
      <c r="C61" s="56">
        <v>566605</v>
      </c>
      <c r="D61" s="16" t="s">
        <v>58</v>
      </c>
      <c r="E61" s="95">
        <v>330000236</v>
      </c>
      <c r="F61" s="36">
        <v>3</v>
      </c>
      <c r="G61" s="7" t="s">
        <v>526</v>
      </c>
      <c r="H61" s="70">
        <v>40</v>
      </c>
      <c r="J61" s="49">
        <v>55</v>
      </c>
      <c r="K61" s="50" t="s">
        <v>742</v>
      </c>
      <c r="L61" s="50" t="s">
        <v>451</v>
      </c>
      <c r="M61" s="50" t="s">
        <v>202</v>
      </c>
      <c r="N61" s="49" t="s">
        <v>234</v>
      </c>
      <c r="O61" s="49">
        <v>938604023</v>
      </c>
      <c r="P61" s="49">
        <v>32932</v>
      </c>
    </row>
    <row r="62" spans="1:16" ht="21.75" customHeight="1" thickBot="1" x14ac:dyDescent="0.55000000000000004">
      <c r="A62" s="29" t="s">
        <v>59</v>
      </c>
      <c r="B62" s="28"/>
      <c r="C62" s="28"/>
      <c r="D62" s="28"/>
      <c r="E62" s="97"/>
      <c r="F62" s="39"/>
      <c r="G62" s="28"/>
      <c r="H62" s="7"/>
      <c r="J62" s="49">
        <v>57</v>
      </c>
      <c r="K62" s="50" t="s">
        <v>798</v>
      </c>
      <c r="L62" s="50" t="s">
        <v>727</v>
      </c>
      <c r="M62" s="92" t="s">
        <v>460</v>
      </c>
      <c r="N62" s="88" t="s">
        <v>461</v>
      </c>
      <c r="O62" s="89">
        <v>521124867</v>
      </c>
      <c r="P62" s="90">
        <v>132520</v>
      </c>
    </row>
    <row r="63" spans="1:16" ht="20.399999999999999" x14ac:dyDescent="0.3">
      <c r="A63" s="101">
        <v>331150201</v>
      </c>
      <c r="B63" s="12"/>
      <c r="C63" s="51">
        <v>566661</v>
      </c>
      <c r="D63" s="4" t="s">
        <v>60</v>
      </c>
      <c r="E63" s="95">
        <v>330000147</v>
      </c>
      <c r="F63" s="36">
        <v>2</v>
      </c>
      <c r="G63" s="7" t="s">
        <v>527</v>
      </c>
      <c r="H63" s="70">
        <v>60</v>
      </c>
      <c r="J63" s="49">
        <v>58</v>
      </c>
      <c r="K63" s="50" t="s">
        <v>797</v>
      </c>
      <c r="L63" s="50" t="s">
        <v>726</v>
      </c>
      <c r="M63" s="122" t="s">
        <v>743</v>
      </c>
      <c r="N63" s="91">
        <v>9189619221</v>
      </c>
      <c r="O63" s="89">
        <v>520251652</v>
      </c>
      <c r="P63" s="90">
        <v>132521</v>
      </c>
    </row>
    <row r="64" spans="1:16" ht="20.399999999999999" x14ac:dyDescent="0.3">
      <c r="A64" s="100">
        <v>331150202</v>
      </c>
      <c r="B64" s="13"/>
      <c r="C64" s="52">
        <v>566662</v>
      </c>
      <c r="D64" s="7" t="s">
        <v>61</v>
      </c>
      <c r="E64" s="95">
        <v>330000149</v>
      </c>
      <c r="F64" s="36">
        <v>2</v>
      </c>
      <c r="G64" s="7" t="s">
        <v>528</v>
      </c>
      <c r="H64" s="70">
        <v>60</v>
      </c>
      <c r="J64" s="49">
        <v>59</v>
      </c>
      <c r="K64" s="50" t="s">
        <v>791</v>
      </c>
      <c r="L64" s="50" t="s">
        <v>792</v>
      </c>
      <c r="M64" s="50" t="s">
        <v>341</v>
      </c>
      <c r="N64" s="50" t="s">
        <v>342</v>
      </c>
      <c r="O64" s="89">
        <v>14013063104</v>
      </c>
      <c r="P64" s="90">
        <v>132575</v>
      </c>
    </row>
    <row r="65" spans="1:11" x14ac:dyDescent="0.3">
      <c r="A65" s="100">
        <v>331150203</v>
      </c>
      <c r="B65" s="109">
        <v>441150203</v>
      </c>
      <c r="C65" s="52">
        <v>566664</v>
      </c>
      <c r="D65" s="7" t="s">
        <v>62</v>
      </c>
      <c r="E65" s="95">
        <v>330000151</v>
      </c>
      <c r="F65" s="36">
        <v>2</v>
      </c>
      <c r="G65" s="7" t="s">
        <v>529</v>
      </c>
      <c r="H65" s="70">
        <v>60</v>
      </c>
      <c r="K65"/>
    </row>
    <row r="66" spans="1:11" x14ac:dyDescent="0.3">
      <c r="A66" s="100">
        <v>331150204</v>
      </c>
      <c r="B66" s="13"/>
      <c r="C66" s="52">
        <v>566665</v>
      </c>
      <c r="D66" s="7" t="s">
        <v>63</v>
      </c>
      <c r="E66" s="95">
        <v>330000153</v>
      </c>
      <c r="F66" s="36">
        <v>2</v>
      </c>
      <c r="G66" s="7" t="s">
        <v>530</v>
      </c>
      <c r="H66" s="70">
        <v>60</v>
      </c>
      <c r="K66"/>
    </row>
    <row r="67" spans="1:11" x14ac:dyDescent="0.3">
      <c r="A67" s="100">
        <v>331150205</v>
      </c>
      <c r="B67" s="13"/>
      <c r="C67" s="52">
        <v>566666</v>
      </c>
      <c r="D67" s="7" t="s">
        <v>64</v>
      </c>
      <c r="E67" s="95">
        <v>330000155</v>
      </c>
      <c r="F67" s="36">
        <v>2</v>
      </c>
      <c r="G67" s="7" t="s">
        <v>531</v>
      </c>
      <c r="H67" s="70">
        <v>60</v>
      </c>
    </row>
    <row r="68" spans="1:11" x14ac:dyDescent="0.3">
      <c r="A68" s="100">
        <v>331150206</v>
      </c>
      <c r="B68" s="109">
        <v>441150206</v>
      </c>
      <c r="C68" s="52">
        <v>566667</v>
      </c>
      <c r="D68" s="7" t="s">
        <v>65</v>
      </c>
      <c r="E68" s="95">
        <v>330000157</v>
      </c>
      <c r="F68" s="36">
        <v>2</v>
      </c>
      <c r="G68" s="7" t="s">
        <v>532</v>
      </c>
      <c r="H68" s="70">
        <v>60</v>
      </c>
    </row>
    <row r="69" spans="1:11" x14ac:dyDescent="0.3">
      <c r="A69" s="100">
        <v>331150207</v>
      </c>
      <c r="B69" s="13"/>
      <c r="C69" s="52">
        <v>566668</v>
      </c>
      <c r="D69" s="7" t="s">
        <v>66</v>
      </c>
      <c r="E69" s="95">
        <v>330000159</v>
      </c>
      <c r="F69" s="36">
        <v>2</v>
      </c>
      <c r="G69" s="7" t="s">
        <v>533</v>
      </c>
      <c r="H69" s="70">
        <v>60</v>
      </c>
    </row>
    <row r="70" spans="1:11" x14ac:dyDescent="0.3">
      <c r="A70" s="100">
        <v>331150225</v>
      </c>
      <c r="B70" s="13"/>
      <c r="C70" s="52">
        <v>566669</v>
      </c>
      <c r="D70" s="7" t="s">
        <v>67</v>
      </c>
      <c r="E70" s="95">
        <v>330000161</v>
      </c>
      <c r="F70" s="36">
        <v>2</v>
      </c>
      <c r="G70" s="7" t="s">
        <v>534</v>
      </c>
      <c r="H70" s="70">
        <v>60</v>
      </c>
    </row>
    <row r="71" spans="1:11" x14ac:dyDescent="0.3">
      <c r="A71" s="100">
        <v>331150228</v>
      </c>
      <c r="B71" s="13"/>
      <c r="C71" s="52">
        <v>566670</v>
      </c>
      <c r="D71" s="7" t="s">
        <v>68</v>
      </c>
      <c r="E71" s="95">
        <v>330000163</v>
      </c>
      <c r="F71" s="36">
        <v>2</v>
      </c>
      <c r="G71" s="7" t="s">
        <v>535</v>
      </c>
      <c r="H71" s="70">
        <v>60</v>
      </c>
    </row>
    <row r="72" spans="1:11" x14ac:dyDescent="0.3">
      <c r="A72" s="100">
        <v>331150229</v>
      </c>
      <c r="B72" s="13"/>
      <c r="C72" s="53">
        <v>566676</v>
      </c>
      <c r="D72" s="7" t="s">
        <v>69</v>
      </c>
      <c r="E72" s="95">
        <v>330000183</v>
      </c>
      <c r="F72" s="36">
        <v>2</v>
      </c>
      <c r="G72" s="7" t="s">
        <v>536</v>
      </c>
      <c r="H72" s="70">
        <v>60</v>
      </c>
    </row>
    <row r="73" spans="1:11" x14ac:dyDescent="0.3">
      <c r="A73" s="100">
        <v>331150220</v>
      </c>
      <c r="B73" s="13"/>
      <c r="C73" s="52">
        <v>566677</v>
      </c>
      <c r="D73" s="7" t="s">
        <v>70</v>
      </c>
      <c r="E73" s="95">
        <v>330000166</v>
      </c>
      <c r="F73" s="36">
        <v>2</v>
      </c>
      <c r="G73" s="7" t="s">
        <v>537</v>
      </c>
      <c r="H73" s="70">
        <v>60</v>
      </c>
    </row>
    <row r="74" spans="1:11" x14ac:dyDescent="0.3">
      <c r="A74" s="100">
        <v>331150209</v>
      </c>
      <c r="B74" s="13"/>
      <c r="C74" s="52">
        <v>566679</v>
      </c>
      <c r="D74" s="7" t="s">
        <v>71</v>
      </c>
      <c r="E74" s="95">
        <v>330000169</v>
      </c>
      <c r="F74" s="36">
        <v>2</v>
      </c>
      <c r="G74" s="7" t="s">
        <v>538</v>
      </c>
      <c r="H74" s="70">
        <v>60</v>
      </c>
    </row>
    <row r="75" spans="1:11" x14ac:dyDescent="0.3">
      <c r="A75" s="70">
        <v>331150230</v>
      </c>
      <c r="B75" s="13"/>
      <c r="C75" s="52">
        <v>566680</v>
      </c>
      <c r="D75" s="7" t="s">
        <v>72</v>
      </c>
      <c r="E75" s="95">
        <v>330000171</v>
      </c>
      <c r="F75" s="36">
        <v>2</v>
      </c>
      <c r="G75" s="7" t="s">
        <v>539</v>
      </c>
      <c r="H75" s="70">
        <v>60</v>
      </c>
    </row>
    <row r="76" spans="1:11" x14ac:dyDescent="0.3">
      <c r="A76" s="100">
        <v>331150210</v>
      </c>
      <c r="B76" s="14"/>
      <c r="C76" s="53">
        <v>566681</v>
      </c>
      <c r="D76" s="9" t="s">
        <v>73</v>
      </c>
      <c r="E76" s="95">
        <v>330000320</v>
      </c>
      <c r="F76" s="36">
        <v>2</v>
      </c>
      <c r="G76" s="7" t="s">
        <v>540</v>
      </c>
      <c r="H76" s="70">
        <v>60</v>
      </c>
    </row>
    <row r="77" spans="1:11" x14ac:dyDescent="0.3">
      <c r="A77" s="100">
        <v>331150208</v>
      </c>
      <c r="B77" s="13"/>
      <c r="C77" s="52">
        <v>566682</v>
      </c>
      <c r="D77" s="7" t="s">
        <v>74</v>
      </c>
      <c r="E77" s="95">
        <v>330000177</v>
      </c>
      <c r="F77" s="36">
        <v>2</v>
      </c>
      <c r="G77" s="7" t="s">
        <v>541</v>
      </c>
      <c r="H77" s="70">
        <v>60</v>
      </c>
    </row>
    <row r="78" spans="1:11" x14ac:dyDescent="0.3">
      <c r="A78" s="100">
        <v>331150218</v>
      </c>
      <c r="B78" s="13"/>
      <c r="C78" s="52">
        <v>566683</v>
      </c>
      <c r="D78" s="7" t="s">
        <v>75</v>
      </c>
      <c r="E78" s="95">
        <v>330000179</v>
      </c>
      <c r="F78" s="36">
        <v>2</v>
      </c>
      <c r="G78" s="7" t="s">
        <v>542</v>
      </c>
      <c r="H78" s="70">
        <v>60</v>
      </c>
    </row>
    <row r="79" spans="1:11" x14ac:dyDescent="0.3">
      <c r="A79" s="100">
        <v>331150231</v>
      </c>
      <c r="B79" s="13"/>
      <c r="C79" s="52">
        <v>566684</v>
      </c>
      <c r="D79" s="7" t="s">
        <v>76</v>
      </c>
      <c r="E79" s="95">
        <v>330000181</v>
      </c>
      <c r="F79" s="36">
        <v>2</v>
      </c>
      <c r="G79" s="7" t="s">
        <v>543</v>
      </c>
      <c r="H79" s="70">
        <v>60</v>
      </c>
    </row>
    <row r="80" spans="1:11" ht="15" thickBot="1" x14ac:dyDescent="0.35">
      <c r="A80" s="108">
        <v>331150232</v>
      </c>
      <c r="B80" s="15"/>
      <c r="C80" s="56">
        <v>566685</v>
      </c>
      <c r="D80" s="16" t="s">
        <v>77</v>
      </c>
      <c r="E80" s="95">
        <v>330000185</v>
      </c>
      <c r="F80" s="36">
        <v>2</v>
      </c>
      <c r="G80" s="7" t="s">
        <v>544</v>
      </c>
      <c r="H80" s="70">
        <v>60</v>
      </c>
    </row>
    <row r="81" spans="1:8" ht="21.75" customHeight="1" thickBot="1" x14ac:dyDescent="0.35">
      <c r="A81" s="29" t="s">
        <v>78</v>
      </c>
      <c r="B81" s="28"/>
      <c r="C81" s="28"/>
      <c r="D81" s="28"/>
      <c r="E81" s="97"/>
      <c r="F81" s="39"/>
      <c r="G81" s="28"/>
      <c r="H81" s="7"/>
    </row>
    <row r="82" spans="1:8" x14ac:dyDescent="0.3">
      <c r="A82" s="110">
        <v>333170201</v>
      </c>
      <c r="B82" s="12"/>
      <c r="C82" s="51">
        <v>566702</v>
      </c>
      <c r="D82" s="4" t="s">
        <v>79</v>
      </c>
      <c r="E82" s="95">
        <v>330000217</v>
      </c>
      <c r="F82" s="36">
        <v>4</v>
      </c>
      <c r="G82" s="7" t="s">
        <v>545</v>
      </c>
      <c r="H82" s="70">
        <v>30</v>
      </c>
    </row>
    <row r="83" spans="1:8" x14ac:dyDescent="0.3">
      <c r="A83" s="70">
        <v>333170202</v>
      </c>
      <c r="B83" s="6"/>
      <c r="C83" s="52">
        <v>566703</v>
      </c>
      <c r="D83" s="7" t="s">
        <v>80</v>
      </c>
      <c r="E83" s="95">
        <v>330000205</v>
      </c>
      <c r="F83" s="36">
        <v>4</v>
      </c>
      <c r="G83" s="7" t="s">
        <v>546</v>
      </c>
      <c r="H83" s="70">
        <v>30</v>
      </c>
    </row>
    <row r="84" spans="1:8" x14ac:dyDescent="0.3">
      <c r="A84" s="100">
        <v>333170203</v>
      </c>
      <c r="B84" s="6"/>
      <c r="C84" s="52">
        <v>566704</v>
      </c>
      <c r="D84" s="7" t="s">
        <v>81</v>
      </c>
      <c r="E84" s="95">
        <v>330000207</v>
      </c>
      <c r="F84" s="36">
        <v>4</v>
      </c>
      <c r="G84" s="7" t="s">
        <v>547</v>
      </c>
      <c r="H84" s="70">
        <v>30</v>
      </c>
    </row>
    <row r="85" spans="1:8" x14ac:dyDescent="0.3">
      <c r="A85" s="70">
        <v>333170204</v>
      </c>
      <c r="B85" s="6"/>
      <c r="C85" s="52">
        <v>566705</v>
      </c>
      <c r="D85" s="7" t="s">
        <v>82</v>
      </c>
      <c r="E85" s="95" t="s">
        <v>788</v>
      </c>
      <c r="F85" s="36">
        <v>4</v>
      </c>
      <c r="G85" s="7" t="s">
        <v>548</v>
      </c>
      <c r="H85" s="70">
        <v>30</v>
      </c>
    </row>
    <row r="86" spans="1:8" x14ac:dyDescent="0.3">
      <c r="A86" s="100">
        <v>333170205</v>
      </c>
      <c r="B86" s="6"/>
      <c r="C86" s="52">
        <v>566706</v>
      </c>
      <c r="D86" s="7" t="s">
        <v>83</v>
      </c>
      <c r="E86" s="95">
        <v>330000210</v>
      </c>
      <c r="F86" s="36">
        <v>4</v>
      </c>
      <c r="G86" s="7" t="s">
        <v>549</v>
      </c>
      <c r="H86" s="70">
        <v>30</v>
      </c>
    </row>
    <row r="87" spans="1:8" x14ac:dyDescent="0.3">
      <c r="A87" s="100">
        <v>333170206</v>
      </c>
      <c r="B87" s="6"/>
      <c r="C87" s="52">
        <v>566707</v>
      </c>
      <c r="D87" s="7" t="s">
        <v>84</v>
      </c>
      <c r="E87" s="95">
        <v>330000212</v>
      </c>
      <c r="F87" s="36">
        <v>4</v>
      </c>
      <c r="G87" s="7" t="s">
        <v>550</v>
      </c>
      <c r="H87" s="70">
        <v>30</v>
      </c>
    </row>
    <row r="88" spans="1:8" x14ac:dyDescent="0.3">
      <c r="A88" s="100">
        <v>333170207</v>
      </c>
      <c r="B88" s="6"/>
      <c r="C88" s="52">
        <v>566708</v>
      </c>
      <c r="D88" s="7" t="s">
        <v>85</v>
      </c>
      <c r="E88" s="95">
        <v>330000214</v>
      </c>
      <c r="F88" s="36">
        <v>4</v>
      </c>
      <c r="G88" s="7" t="s">
        <v>551</v>
      </c>
      <c r="H88" s="70">
        <v>30</v>
      </c>
    </row>
    <row r="89" spans="1:8" x14ac:dyDescent="0.3">
      <c r="A89" s="100">
        <v>333170210</v>
      </c>
      <c r="B89" s="6"/>
      <c r="C89" s="52">
        <v>566709</v>
      </c>
      <c r="D89" s="7" t="s">
        <v>86</v>
      </c>
      <c r="E89" s="95">
        <v>330000216</v>
      </c>
      <c r="F89" s="36">
        <v>4</v>
      </c>
      <c r="G89" s="7" t="s">
        <v>552</v>
      </c>
      <c r="H89" s="70">
        <v>30</v>
      </c>
    </row>
    <row r="90" spans="1:8" x14ac:dyDescent="0.3">
      <c r="A90" s="70">
        <v>333170219</v>
      </c>
      <c r="B90" s="6"/>
      <c r="C90" s="52">
        <v>566710</v>
      </c>
      <c r="D90" s="7" t="s">
        <v>87</v>
      </c>
      <c r="E90" s="95">
        <v>330000219</v>
      </c>
      <c r="F90" s="36">
        <v>4</v>
      </c>
      <c r="G90" s="7" t="s">
        <v>553</v>
      </c>
      <c r="H90" s="70">
        <v>30</v>
      </c>
    </row>
    <row r="91" spans="1:8" x14ac:dyDescent="0.3">
      <c r="A91" s="70">
        <v>333170217</v>
      </c>
      <c r="B91" s="6"/>
      <c r="C91" s="53">
        <v>566716</v>
      </c>
      <c r="D91" s="7" t="s">
        <v>88</v>
      </c>
      <c r="E91" s="95">
        <v>330000235</v>
      </c>
      <c r="F91" s="36">
        <v>4</v>
      </c>
      <c r="G91" s="7" t="s">
        <v>554</v>
      </c>
      <c r="H91" s="70">
        <v>30</v>
      </c>
    </row>
    <row r="92" spans="1:8" x14ac:dyDescent="0.3">
      <c r="A92" s="70">
        <v>333170212</v>
      </c>
      <c r="B92" s="6"/>
      <c r="C92" s="52">
        <v>566717</v>
      </c>
      <c r="D92" s="7" t="s">
        <v>89</v>
      </c>
      <c r="E92" s="95">
        <v>330000222</v>
      </c>
      <c r="F92" s="36">
        <v>4</v>
      </c>
      <c r="G92" s="7" t="s">
        <v>555</v>
      </c>
      <c r="H92" s="70">
        <v>30</v>
      </c>
    </row>
    <row r="93" spans="1:8" x14ac:dyDescent="0.3">
      <c r="A93" s="100">
        <v>333170213</v>
      </c>
      <c r="B93" s="6"/>
      <c r="C93" s="52">
        <v>566719</v>
      </c>
      <c r="D93" s="7" t="s">
        <v>90</v>
      </c>
      <c r="E93" s="95">
        <v>330000224</v>
      </c>
      <c r="F93" s="36">
        <v>4</v>
      </c>
      <c r="G93" s="7" t="s">
        <v>556</v>
      </c>
      <c r="H93" s="70">
        <v>30</v>
      </c>
    </row>
    <row r="94" spans="1:8" x14ac:dyDescent="0.3">
      <c r="A94" s="70">
        <v>333170218</v>
      </c>
      <c r="B94" s="6"/>
      <c r="C94" s="52">
        <v>566720</v>
      </c>
      <c r="D94" s="7" t="s">
        <v>91</v>
      </c>
      <c r="E94" s="95">
        <v>330000226</v>
      </c>
      <c r="F94" s="36">
        <v>4</v>
      </c>
      <c r="G94" s="7" t="s">
        <v>557</v>
      </c>
      <c r="H94" s="70">
        <v>30</v>
      </c>
    </row>
    <row r="95" spans="1:8" x14ac:dyDescent="0.3">
      <c r="A95" s="100">
        <v>333170209</v>
      </c>
      <c r="B95" s="8"/>
      <c r="C95" s="53">
        <v>566721</v>
      </c>
      <c r="D95" s="9" t="s">
        <v>92</v>
      </c>
      <c r="E95" s="95">
        <v>330000228</v>
      </c>
      <c r="F95" s="36">
        <v>4</v>
      </c>
      <c r="G95" s="7" t="s">
        <v>558</v>
      </c>
      <c r="H95" s="70">
        <v>30</v>
      </c>
    </row>
    <row r="96" spans="1:8" x14ac:dyDescent="0.3">
      <c r="A96" s="100">
        <v>333170208</v>
      </c>
      <c r="B96" s="6"/>
      <c r="C96" s="52">
        <v>566722</v>
      </c>
      <c r="D96" s="7" t="s">
        <v>93</v>
      </c>
      <c r="E96" s="95">
        <v>330000230</v>
      </c>
      <c r="F96" s="36">
        <v>4</v>
      </c>
      <c r="G96" s="7" t="s">
        <v>559</v>
      </c>
      <c r="H96" s="70">
        <v>30</v>
      </c>
    </row>
    <row r="97" spans="1:8" x14ac:dyDescent="0.3">
      <c r="A97" s="100">
        <v>333170214</v>
      </c>
      <c r="B97" s="6"/>
      <c r="C97" s="52">
        <v>566723</v>
      </c>
      <c r="D97" s="7" t="s">
        <v>94</v>
      </c>
      <c r="E97" s="95">
        <v>330000232</v>
      </c>
      <c r="F97" s="36">
        <v>4</v>
      </c>
      <c r="G97" s="7" t="s">
        <v>560</v>
      </c>
      <c r="H97" s="70">
        <v>30</v>
      </c>
    </row>
    <row r="98" spans="1:8" x14ac:dyDescent="0.3">
      <c r="A98" s="100">
        <v>333170215</v>
      </c>
      <c r="B98" s="6"/>
      <c r="C98" s="52">
        <v>566724</v>
      </c>
      <c r="D98" s="7" t="s">
        <v>95</v>
      </c>
      <c r="E98" s="95">
        <v>330000234</v>
      </c>
      <c r="F98" s="36">
        <v>4</v>
      </c>
      <c r="G98" s="7" t="s">
        <v>561</v>
      </c>
      <c r="H98" s="70">
        <v>30</v>
      </c>
    </row>
    <row r="99" spans="1:8" ht="15" thickBot="1" x14ac:dyDescent="0.35">
      <c r="A99" s="108">
        <v>333170211</v>
      </c>
      <c r="B99" s="10"/>
      <c r="C99" s="56">
        <v>566725</v>
      </c>
      <c r="D99" s="16" t="s">
        <v>96</v>
      </c>
      <c r="E99" s="95">
        <v>330000237</v>
      </c>
      <c r="F99" s="36">
        <v>4</v>
      </c>
      <c r="G99" s="7" t="s">
        <v>562</v>
      </c>
      <c r="H99" s="70">
        <v>30</v>
      </c>
    </row>
    <row r="100" spans="1:8" ht="21.75" customHeight="1" thickBot="1" x14ac:dyDescent="0.35">
      <c r="A100" s="29" t="s">
        <v>97</v>
      </c>
      <c r="B100" s="28"/>
      <c r="C100" s="28"/>
      <c r="D100" s="28"/>
      <c r="E100" s="97"/>
      <c r="F100" s="39"/>
      <c r="G100" s="28"/>
      <c r="H100" s="7"/>
    </row>
    <row r="101" spans="1:8" x14ac:dyDescent="0.3">
      <c r="A101" s="101">
        <v>331410109</v>
      </c>
      <c r="B101" s="111">
        <v>441400105</v>
      </c>
      <c r="C101" s="51">
        <v>690803</v>
      </c>
      <c r="D101" s="7" t="s">
        <v>98</v>
      </c>
      <c r="E101" s="95">
        <v>330000038</v>
      </c>
      <c r="F101" s="36">
        <v>1</v>
      </c>
      <c r="G101" s="7" t="s">
        <v>563</v>
      </c>
      <c r="H101" s="70">
        <v>120</v>
      </c>
    </row>
    <row r="102" spans="1:8" x14ac:dyDescent="0.3">
      <c r="A102" s="100">
        <v>331410110</v>
      </c>
      <c r="B102" s="112">
        <v>441400106</v>
      </c>
      <c r="C102" s="52">
        <v>690804</v>
      </c>
      <c r="D102" s="7" t="s">
        <v>99</v>
      </c>
      <c r="E102" s="95">
        <v>330000039</v>
      </c>
      <c r="F102" s="36">
        <v>1</v>
      </c>
      <c r="G102" s="7" t="s">
        <v>564</v>
      </c>
      <c r="H102" s="70">
        <v>120</v>
      </c>
    </row>
    <row r="103" spans="1:8" x14ac:dyDescent="0.3">
      <c r="A103" s="100">
        <v>331410111</v>
      </c>
      <c r="B103" s="112">
        <v>441400107</v>
      </c>
      <c r="C103" s="52">
        <v>690805</v>
      </c>
      <c r="D103" s="7" t="s">
        <v>100</v>
      </c>
      <c r="E103" s="95">
        <v>330000042</v>
      </c>
      <c r="F103" s="36">
        <v>1</v>
      </c>
      <c r="G103" s="7" t="s">
        <v>565</v>
      </c>
      <c r="H103" s="70">
        <v>120</v>
      </c>
    </row>
    <row r="104" spans="1:8" x14ac:dyDescent="0.3">
      <c r="A104" s="100">
        <v>331410112</v>
      </c>
      <c r="B104" s="112">
        <v>441400108</v>
      </c>
      <c r="C104" s="52">
        <v>690806</v>
      </c>
      <c r="D104" s="7" t="s">
        <v>101</v>
      </c>
      <c r="E104" s="95">
        <v>330000045</v>
      </c>
      <c r="F104" s="36">
        <v>1</v>
      </c>
      <c r="G104" s="7" t="s">
        <v>566</v>
      </c>
      <c r="H104" s="70">
        <v>120</v>
      </c>
    </row>
    <row r="105" spans="1:8" x14ac:dyDescent="0.3">
      <c r="A105" s="100">
        <v>331410113</v>
      </c>
      <c r="B105" s="112">
        <v>441400109</v>
      </c>
      <c r="C105" s="52">
        <v>690807</v>
      </c>
      <c r="D105" s="7" t="s">
        <v>102</v>
      </c>
      <c r="E105" s="95">
        <v>330000048</v>
      </c>
      <c r="F105" s="36">
        <v>1</v>
      </c>
      <c r="G105" s="7" t="s">
        <v>567</v>
      </c>
      <c r="H105" s="70">
        <v>120</v>
      </c>
    </row>
    <row r="106" spans="1:8" x14ac:dyDescent="0.3">
      <c r="A106" s="100">
        <v>331410114</v>
      </c>
      <c r="B106" s="112">
        <v>441400110</v>
      </c>
      <c r="C106" s="52">
        <v>690808</v>
      </c>
      <c r="D106" s="7" t="s">
        <v>103</v>
      </c>
      <c r="E106" s="95">
        <v>330000050</v>
      </c>
      <c r="F106" s="36">
        <v>1</v>
      </c>
      <c r="G106" s="7" t="s">
        <v>568</v>
      </c>
      <c r="H106" s="70">
        <v>120</v>
      </c>
    </row>
    <row r="107" spans="1:8" x14ac:dyDescent="0.3">
      <c r="A107" s="100">
        <v>331410115</v>
      </c>
      <c r="B107" s="112">
        <v>441400111</v>
      </c>
      <c r="C107" s="52">
        <v>690809</v>
      </c>
      <c r="D107" s="7" t="s">
        <v>104</v>
      </c>
      <c r="E107" s="95">
        <v>330000052</v>
      </c>
      <c r="F107" s="36">
        <v>1</v>
      </c>
      <c r="G107" s="7" t="s">
        <v>569</v>
      </c>
      <c r="H107" s="70">
        <v>120</v>
      </c>
    </row>
    <row r="108" spans="1:8" x14ac:dyDescent="0.3">
      <c r="A108" s="100">
        <v>441400112</v>
      </c>
      <c r="B108" s="112">
        <v>441400112</v>
      </c>
      <c r="C108" s="52"/>
      <c r="D108" s="7" t="s">
        <v>746</v>
      </c>
      <c r="E108" s="95">
        <v>330000289</v>
      </c>
      <c r="F108" s="36">
        <v>2</v>
      </c>
      <c r="G108" s="7" t="s">
        <v>748</v>
      </c>
      <c r="H108" s="70">
        <v>120</v>
      </c>
    </row>
    <row r="109" spans="1:8" x14ac:dyDescent="0.3">
      <c r="A109" s="100">
        <v>441400113</v>
      </c>
      <c r="B109" s="112">
        <v>441400113</v>
      </c>
      <c r="C109" s="52"/>
      <c r="D109" s="7" t="s">
        <v>747</v>
      </c>
      <c r="E109" s="95">
        <v>330000291</v>
      </c>
      <c r="F109" s="36">
        <v>3</v>
      </c>
      <c r="G109" s="7" t="s">
        <v>749</v>
      </c>
      <c r="H109" s="70">
        <v>120</v>
      </c>
    </row>
    <row r="110" spans="1:8" x14ac:dyDescent="0.3">
      <c r="A110" s="100">
        <v>331410102</v>
      </c>
      <c r="B110" s="112">
        <v>441400119</v>
      </c>
      <c r="C110" s="52">
        <v>690810</v>
      </c>
      <c r="D110" s="7" t="s">
        <v>105</v>
      </c>
      <c r="E110" s="95">
        <v>330000055</v>
      </c>
      <c r="F110" s="36">
        <v>1</v>
      </c>
      <c r="G110" s="7" t="s">
        <v>570</v>
      </c>
      <c r="H110" s="70">
        <v>120</v>
      </c>
    </row>
    <row r="111" spans="1:8" x14ac:dyDescent="0.3">
      <c r="A111" s="100">
        <v>331410103</v>
      </c>
      <c r="B111" s="112">
        <v>441400120</v>
      </c>
      <c r="C111" s="52">
        <v>690811</v>
      </c>
      <c r="D111" s="7" t="s">
        <v>106</v>
      </c>
      <c r="E111" s="95">
        <v>330000057</v>
      </c>
      <c r="F111" s="36">
        <v>1</v>
      </c>
      <c r="G111" s="7" t="s">
        <v>571</v>
      </c>
      <c r="H111" s="70">
        <v>120</v>
      </c>
    </row>
    <row r="112" spans="1:8" x14ac:dyDescent="0.3">
      <c r="A112" s="100">
        <v>331410104</v>
      </c>
      <c r="B112" s="112">
        <v>441400121</v>
      </c>
      <c r="C112" s="52">
        <v>690812</v>
      </c>
      <c r="D112" s="7" t="s">
        <v>107</v>
      </c>
      <c r="E112" s="95">
        <v>330000060</v>
      </c>
      <c r="F112" s="36">
        <v>1</v>
      </c>
      <c r="G112" s="7" t="s">
        <v>572</v>
      </c>
      <c r="H112" s="70">
        <v>120</v>
      </c>
    </row>
    <row r="113" spans="1:8" x14ac:dyDescent="0.3">
      <c r="A113" s="100">
        <v>331410105</v>
      </c>
      <c r="B113" s="112">
        <v>441400122</v>
      </c>
      <c r="C113" s="52">
        <v>690813</v>
      </c>
      <c r="D113" s="7" t="s">
        <v>108</v>
      </c>
      <c r="E113" s="95">
        <v>330000063</v>
      </c>
      <c r="F113" s="36">
        <v>1</v>
      </c>
      <c r="G113" s="7" t="s">
        <v>573</v>
      </c>
      <c r="H113" s="70">
        <v>120</v>
      </c>
    </row>
    <row r="114" spans="1:8" x14ac:dyDescent="0.3">
      <c r="A114" s="100">
        <v>331410106</v>
      </c>
      <c r="B114" s="112">
        <v>441400123</v>
      </c>
      <c r="C114" s="52">
        <v>690814</v>
      </c>
      <c r="D114" s="7" t="s">
        <v>109</v>
      </c>
      <c r="E114" s="95">
        <v>330000066</v>
      </c>
      <c r="F114" s="36">
        <v>1</v>
      </c>
      <c r="G114" s="7" t="s">
        <v>574</v>
      </c>
      <c r="H114" s="70">
        <v>120</v>
      </c>
    </row>
    <row r="115" spans="1:8" x14ac:dyDescent="0.3">
      <c r="A115" s="100">
        <v>331410107</v>
      </c>
      <c r="B115" s="112">
        <v>441400124</v>
      </c>
      <c r="C115" s="52">
        <v>690815</v>
      </c>
      <c r="D115" s="7" t="s">
        <v>110</v>
      </c>
      <c r="E115" s="95">
        <v>330000069</v>
      </c>
      <c r="F115" s="36">
        <v>1</v>
      </c>
      <c r="G115" s="7" t="s">
        <v>575</v>
      </c>
      <c r="H115" s="70">
        <v>120</v>
      </c>
    </row>
    <row r="116" spans="1:8" x14ac:dyDescent="0.3">
      <c r="A116" s="104">
        <v>331410108</v>
      </c>
      <c r="B116" s="113">
        <v>441400125</v>
      </c>
      <c r="C116" s="54">
        <v>690816</v>
      </c>
      <c r="D116" s="7" t="s">
        <v>111</v>
      </c>
      <c r="E116" s="95">
        <v>330000072</v>
      </c>
      <c r="F116" s="36">
        <v>1</v>
      </c>
      <c r="G116" s="7" t="s">
        <v>576</v>
      </c>
      <c r="H116" s="70">
        <v>120</v>
      </c>
    </row>
    <row r="117" spans="1:8" x14ac:dyDescent="0.3">
      <c r="A117" s="114">
        <v>441400126</v>
      </c>
      <c r="B117" s="114">
        <v>441400126</v>
      </c>
      <c r="C117" s="85"/>
      <c r="D117" s="87" t="s">
        <v>744</v>
      </c>
      <c r="E117" s="95">
        <v>330000295</v>
      </c>
      <c r="F117" s="98">
        <v>1</v>
      </c>
      <c r="G117" s="7" t="s">
        <v>745</v>
      </c>
      <c r="H117" s="70">
        <v>120</v>
      </c>
    </row>
    <row r="118" spans="1:8" x14ac:dyDescent="0.3">
      <c r="A118" s="114">
        <v>441400127</v>
      </c>
      <c r="B118" s="114">
        <v>441400127</v>
      </c>
      <c r="C118" s="85"/>
      <c r="D118" s="87" t="s">
        <v>750</v>
      </c>
      <c r="E118" s="95">
        <v>330000297</v>
      </c>
      <c r="F118" s="98">
        <v>1</v>
      </c>
      <c r="G118" s="7" t="s">
        <v>751</v>
      </c>
      <c r="H118" s="70">
        <v>120</v>
      </c>
    </row>
    <row r="119" spans="1:8" ht="21.75" customHeight="1" thickBot="1" x14ac:dyDescent="0.35">
      <c r="A119" s="29" t="s">
        <v>112</v>
      </c>
      <c r="B119" s="28"/>
      <c r="C119" s="28"/>
      <c r="D119" s="28"/>
      <c r="E119" s="97"/>
      <c r="F119" s="39"/>
      <c r="G119" s="28"/>
      <c r="H119" s="7"/>
    </row>
    <row r="120" spans="1:8" x14ac:dyDescent="0.3">
      <c r="A120" s="101">
        <v>442410105</v>
      </c>
      <c r="B120" s="111">
        <v>442410105</v>
      </c>
      <c r="C120" s="51">
        <v>691081</v>
      </c>
      <c r="D120" s="7" t="s">
        <v>113</v>
      </c>
      <c r="E120" s="95">
        <v>330000299</v>
      </c>
      <c r="F120" s="36">
        <v>2</v>
      </c>
      <c r="G120" s="7" t="s">
        <v>577</v>
      </c>
      <c r="H120" s="70">
        <v>60</v>
      </c>
    </row>
    <row r="121" spans="1:8" x14ac:dyDescent="0.3">
      <c r="A121" s="100">
        <v>442410106</v>
      </c>
      <c r="B121" s="112">
        <v>442410106</v>
      </c>
      <c r="C121" s="52">
        <v>691082</v>
      </c>
      <c r="D121" s="7" t="s">
        <v>114</v>
      </c>
      <c r="E121" s="95">
        <v>330000300</v>
      </c>
      <c r="F121" s="36">
        <v>2</v>
      </c>
      <c r="G121" s="7" t="s">
        <v>578</v>
      </c>
      <c r="H121" s="70">
        <v>60</v>
      </c>
    </row>
    <row r="122" spans="1:8" x14ac:dyDescent="0.3">
      <c r="A122" s="100">
        <v>442410107</v>
      </c>
      <c r="B122" s="112">
        <v>442410107</v>
      </c>
      <c r="C122" s="52">
        <v>691083</v>
      </c>
      <c r="D122" s="7" t="s">
        <v>115</v>
      </c>
      <c r="E122" s="95">
        <v>330000074</v>
      </c>
      <c r="F122" s="36">
        <v>2</v>
      </c>
      <c r="G122" s="7" t="s">
        <v>579</v>
      </c>
      <c r="H122" s="70">
        <v>60</v>
      </c>
    </row>
    <row r="123" spans="1:8" x14ac:dyDescent="0.3">
      <c r="A123" s="100">
        <v>442410108</v>
      </c>
      <c r="B123" s="112">
        <v>442410108</v>
      </c>
      <c r="C123" s="52">
        <v>691084</v>
      </c>
      <c r="D123" s="7" t="s">
        <v>116</v>
      </c>
      <c r="E123" s="95">
        <v>330000301</v>
      </c>
      <c r="F123" s="36">
        <v>2</v>
      </c>
      <c r="G123" s="7" t="s">
        <v>580</v>
      </c>
      <c r="H123" s="70">
        <v>60</v>
      </c>
    </row>
    <row r="124" spans="1:8" x14ac:dyDescent="0.3">
      <c r="A124" s="100">
        <v>442410109</v>
      </c>
      <c r="B124" s="112">
        <v>442410109</v>
      </c>
      <c r="C124" s="52">
        <v>691085</v>
      </c>
      <c r="D124" s="7" t="s">
        <v>117</v>
      </c>
      <c r="E124" s="95">
        <v>330000302</v>
      </c>
      <c r="F124" s="36">
        <v>2</v>
      </c>
      <c r="G124" s="7" t="s">
        <v>581</v>
      </c>
      <c r="H124" s="70">
        <v>60</v>
      </c>
    </row>
    <row r="125" spans="1:8" x14ac:dyDescent="0.3">
      <c r="A125" s="100">
        <v>442410110</v>
      </c>
      <c r="B125" s="112">
        <v>442410110</v>
      </c>
      <c r="C125" s="52">
        <v>691086</v>
      </c>
      <c r="D125" s="7" t="s">
        <v>118</v>
      </c>
      <c r="E125" s="95">
        <v>330000303</v>
      </c>
      <c r="F125" s="36">
        <v>2</v>
      </c>
      <c r="G125" s="7" t="s">
        <v>582</v>
      </c>
      <c r="H125" s="70">
        <v>60</v>
      </c>
    </row>
    <row r="126" spans="1:8" x14ac:dyDescent="0.3">
      <c r="A126" s="100">
        <v>442410111</v>
      </c>
      <c r="B126" s="112">
        <v>442410111</v>
      </c>
      <c r="C126" s="52">
        <v>691087</v>
      </c>
      <c r="D126" s="7" t="s">
        <v>119</v>
      </c>
      <c r="E126" s="95">
        <v>330000304</v>
      </c>
      <c r="F126" s="36">
        <v>2</v>
      </c>
      <c r="G126" s="7" t="s">
        <v>583</v>
      </c>
      <c r="H126" s="70">
        <v>60</v>
      </c>
    </row>
    <row r="127" spans="1:8" x14ac:dyDescent="0.3">
      <c r="A127" s="100">
        <v>442410112</v>
      </c>
      <c r="B127" s="112">
        <v>442410112</v>
      </c>
      <c r="C127" s="52"/>
      <c r="D127" s="7" t="s">
        <v>775</v>
      </c>
      <c r="E127" s="95" t="s">
        <v>788</v>
      </c>
      <c r="F127" s="98">
        <v>2</v>
      </c>
      <c r="G127" s="7" t="s">
        <v>779</v>
      </c>
      <c r="H127" s="70">
        <v>60</v>
      </c>
    </row>
    <row r="128" spans="1:8" x14ac:dyDescent="0.3">
      <c r="A128" s="100">
        <v>442410113</v>
      </c>
      <c r="B128" s="112">
        <v>442410113</v>
      </c>
      <c r="C128" s="52"/>
      <c r="D128" s="7" t="s">
        <v>776</v>
      </c>
      <c r="E128" s="95" t="s">
        <v>788</v>
      </c>
      <c r="F128" s="98">
        <v>2</v>
      </c>
      <c r="G128" s="7" t="s">
        <v>780</v>
      </c>
      <c r="H128" s="70">
        <v>60</v>
      </c>
    </row>
    <row r="129" spans="1:8" x14ac:dyDescent="0.3">
      <c r="A129" s="107">
        <v>332420107</v>
      </c>
      <c r="B129" s="112">
        <v>442410119</v>
      </c>
      <c r="C129" s="52">
        <v>691088</v>
      </c>
      <c r="D129" s="7" t="s">
        <v>120</v>
      </c>
      <c r="E129" s="95">
        <v>330000075</v>
      </c>
      <c r="F129" s="36">
        <v>2</v>
      </c>
      <c r="G129" s="7" t="s">
        <v>584</v>
      </c>
      <c r="H129" s="70">
        <v>60</v>
      </c>
    </row>
    <row r="130" spans="1:8" x14ac:dyDescent="0.3">
      <c r="A130" s="107">
        <v>332420108</v>
      </c>
      <c r="B130" s="112">
        <v>442410120</v>
      </c>
      <c r="C130" s="52">
        <v>691089</v>
      </c>
      <c r="D130" s="7" t="s">
        <v>121</v>
      </c>
      <c r="E130" s="95">
        <v>330000076</v>
      </c>
      <c r="F130" s="36">
        <v>2</v>
      </c>
      <c r="G130" s="7" t="s">
        <v>585</v>
      </c>
      <c r="H130" s="70">
        <v>60</v>
      </c>
    </row>
    <row r="131" spans="1:8" x14ac:dyDescent="0.3">
      <c r="A131" s="107">
        <v>332420109</v>
      </c>
      <c r="B131" s="112">
        <v>442410121</v>
      </c>
      <c r="C131" s="52">
        <v>691090</v>
      </c>
      <c r="D131" s="7" t="s">
        <v>122</v>
      </c>
      <c r="E131" s="95">
        <v>330000077</v>
      </c>
      <c r="F131" s="36">
        <v>2</v>
      </c>
      <c r="G131" s="7" t="s">
        <v>586</v>
      </c>
      <c r="H131" s="70">
        <v>60</v>
      </c>
    </row>
    <row r="132" spans="1:8" x14ac:dyDescent="0.3">
      <c r="A132" s="107">
        <v>332420110</v>
      </c>
      <c r="B132" s="112">
        <v>442410122</v>
      </c>
      <c r="C132" s="52">
        <v>691091</v>
      </c>
      <c r="D132" s="7" t="s">
        <v>123</v>
      </c>
      <c r="E132" s="95">
        <v>330000078</v>
      </c>
      <c r="F132" s="36">
        <v>2</v>
      </c>
      <c r="G132" s="7" t="s">
        <v>587</v>
      </c>
      <c r="H132" s="70">
        <v>60</v>
      </c>
    </row>
    <row r="133" spans="1:8" x14ac:dyDescent="0.3">
      <c r="A133" s="100">
        <v>332420111</v>
      </c>
      <c r="B133" s="115">
        <v>442410123</v>
      </c>
      <c r="C133" s="52">
        <v>691092</v>
      </c>
      <c r="D133" s="7" t="s">
        <v>124</v>
      </c>
      <c r="E133" s="95">
        <v>330000079</v>
      </c>
      <c r="F133" s="36">
        <v>2</v>
      </c>
      <c r="G133" s="7" t="s">
        <v>588</v>
      </c>
      <c r="H133" s="70">
        <v>60</v>
      </c>
    </row>
    <row r="134" spans="1:8" x14ac:dyDescent="0.3">
      <c r="A134" s="104">
        <v>332420112</v>
      </c>
      <c r="B134" s="113">
        <v>442410124</v>
      </c>
      <c r="C134" s="54">
        <v>691093</v>
      </c>
      <c r="D134" s="7" t="s">
        <v>125</v>
      </c>
      <c r="E134" s="95">
        <v>330000080</v>
      </c>
      <c r="F134" s="36">
        <v>2</v>
      </c>
      <c r="G134" s="7" t="s">
        <v>589</v>
      </c>
      <c r="H134" s="70">
        <v>60</v>
      </c>
    </row>
    <row r="135" spans="1:8" x14ac:dyDescent="0.3">
      <c r="A135" s="116">
        <v>332420113</v>
      </c>
      <c r="B135" s="114">
        <v>442410125</v>
      </c>
      <c r="C135" s="85">
        <v>691094</v>
      </c>
      <c r="D135" s="87" t="s">
        <v>126</v>
      </c>
      <c r="E135" s="95">
        <v>330000081</v>
      </c>
      <c r="F135" s="36">
        <v>2</v>
      </c>
      <c r="G135" s="7" t="s">
        <v>590</v>
      </c>
      <c r="H135" s="70">
        <v>60</v>
      </c>
    </row>
    <row r="136" spans="1:8" x14ac:dyDescent="0.3">
      <c r="A136" s="117">
        <v>442410126</v>
      </c>
      <c r="B136" s="114">
        <v>442410126</v>
      </c>
      <c r="C136" s="85"/>
      <c r="D136" s="86" t="s">
        <v>777</v>
      </c>
      <c r="E136" s="95" t="s">
        <v>788</v>
      </c>
      <c r="F136" s="99">
        <v>2</v>
      </c>
      <c r="G136" s="86" t="s">
        <v>781</v>
      </c>
      <c r="H136" s="70">
        <v>60</v>
      </c>
    </row>
    <row r="137" spans="1:8" x14ac:dyDescent="0.3">
      <c r="A137" s="117">
        <v>442410127</v>
      </c>
      <c r="B137" s="114">
        <v>442410127</v>
      </c>
      <c r="C137" s="85"/>
      <c r="D137" s="86" t="s">
        <v>778</v>
      </c>
      <c r="E137" s="95" t="s">
        <v>788</v>
      </c>
      <c r="F137" s="99">
        <v>2</v>
      </c>
      <c r="G137" s="86" t="s">
        <v>782</v>
      </c>
      <c r="H137" s="70">
        <v>60</v>
      </c>
    </row>
    <row r="138" spans="1:8" ht="21.75" customHeight="1" thickBot="1" x14ac:dyDescent="0.35">
      <c r="A138" s="29" t="s">
        <v>127</v>
      </c>
      <c r="B138" s="28"/>
      <c r="C138" s="28"/>
      <c r="D138" s="28"/>
      <c r="E138" s="97"/>
      <c r="F138" s="39"/>
      <c r="G138" s="28"/>
      <c r="H138" s="7"/>
    </row>
    <row r="139" spans="1:8" x14ac:dyDescent="0.3">
      <c r="A139" s="101">
        <v>443420100</v>
      </c>
      <c r="B139" s="111">
        <v>443420100</v>
      </c>
      <c r="C139" s="51">
        <v>690817</v>
      </c>
      <c r="D139" s="7" t="s">
        <v>128</v>
      </c>
      <c r="E139" s="95">
        <v>330000082</v>
      </c>
      <c r="F139" s="36">
        <v>3</v>
      </c>
      <c r="G139" s="7" t="s">
        <v>591</v>
      </c>
      <c r="H139" s="70">
        <v>40</v>
      </c>
    </row>
    <row r="140" spans="1:8" x14ac:dyDescent="0.3">
      <c r="A140" s="100">
        <v>333410126</v>
      </c>
      <c r="B140" s="112">
        <v>443420101</v>
      </c>
      <c r="C140" s="52">
        <v>690818</v>
      </c>
      <c r="D140" s="7" t="s">
        <v>129</v>
      </c>
      <c r="E140" s="95">
        <v>330000083</v>
      </c>
      <c r="F140" s="36">
        <v>3</v>
      </c>
      <c r="G140" s="7" t="s">
        <v>592</v>
      </c>
      <c r="H140" s="70">
        <v>40</v>
      </c>
    </row>
    <row r="141" spans="1:8" x14ac:dyDescent="0.3">
      <c r="A141" s="107">
        <v>333410125</v>
      </c>
      <c r="B141" s="112">
        <v>443420102</v>
      </c>
      <c r="C141" s="52">
        <v>690819</v>
      </c>
      <c r="D141" s="7" t="s">
        <v>130</v>
      </c>
      <c r="E141" s="95">
        <v>330000084</v>
      </c>
      <c r="F141" s="36">
        <v>3</v>
      </c>
      <c r="G141" s="7" t="s">
        <v>593</v>
      </c>
      <c r="H141" s="70">
        <v>40</v>
      </c>
    </row>
    <row r="142" spans="1:8" x14ac:dyDescent="0.3">
      <c r="A142" s="100">
        <v>443420103</v>
      </c>
      <c r="B142" s="112">
        <v>443420103</v>
      </c>
      <c r="C142" s="52">
        <v>690820</v>
      </c>
      <c r="D142" s="7" t="s">
        <v>131</v>
      </c>
      <c r="E142" s="95">
        <v>330000085</v>
      </c>
      <c r="F142" s="36">
        <v>3</v>
      </c>
      <c r="G142" s="7" t="s">
        <v>594</v>
      </c>
      <c r="H142" s="70">
        <v>40</v>
      </c>
    </row>
    <row r="143" spans="1:8" x14ac:dyDescent="0.3">
      <c r="A143" s="107">
        <v>333440106</v>
      </c>
      <c r="B143" s="112">
        <v>443420104</v>
      </c>
      <c r="C143" s="52">
        <v>690821</v>
      </c>
      <c r="D143" s="7" t="s">
        <v>132</v>
      </c>
      <c r="E143" s="95">
        <v>330000086</v>
      </c>
      <c r="F143" s="36">
        <v>3</v>
      </c>
      <c r="G143" s="7" t="s">
        <v>595</v>
      </c>
      <c r="H143" s="70">
        <v>40</v>
      </c>
    </row>
    <row r="144" spans="1:8" x14ac:dyDescent="0.3">
      <c r="A144" s="100">
        <v>333440105</v>
      </c>
      <c r="B144" s="112">
        <v>443420105</v>
      </c>
      <c r="C144" s="52">
        <v>690822</v>
      </c>
      <c r="D144" s="7" t="s">
        <v>133</v>
      </c>
      <c r="E144" s="95">
        <v>330000088</v>
      </c>
      <c r="F144" s="36">
        <v>3</v>
      </c>
      <c r="G144" s="7" t="s">
        <v>596</v>
      </c>
      <c r="H144" s="70">
        <v>40</v>
      </c>
    </row>
    <row r="145" spans="1:8" x14ac:dyDescent="0.3">
      <c r="A145" s="100">
        <v>443420106</v>
      </c>
      <c r="B145" s="112">
        <v>443420106</v>
      </c>
      <c r="C145" s="52">
        <v>690823</v>
      </c>
      <c r="D145" s="7" t="s">
        <v>134</v>
      </c>
      <c r="E145" s="95">
        <v>330000090</v>
      </c>
      <c r="F145" s="36">
        <v>3</v>
      </c>
      <c r="G145" s="7" t="s">
        <v>597</v>
      </c>
      <c r="H145" s="70">
        <v>40</v>
      </c>
    </row>
    <row r="146" spans="1:8" x14ac:dyDescent="0.3">
      <c r="A146" s="100">
        <v>443420107</v>
      </c>
      <c r="B146" s="112">
        <v>443420107</v>
      </c>
      <c r="C146" s="52"/>
      <c r="D146" s="7" t="s">
        <v>783</v>
      </c>
      <c r="E146" s="95">
        <v>330000309</v>
      </c>
      <c r="F146" s="98">
        <v>3</v>
      </c>
      <c r="G146" s="7" t="s">
        <v>772</v>
      </c>
      <c r="H146" s="70">
        <v>40</v>
      </c>
    </row>
    <row r="147" spans="1:8" x14ac:dyDescent="0.3">
      <c r="A147" s="100">
        <v>443420108</v>
      </c>
      <c r="B147" s="112">
        <v>443420108</v>
      </c>
      <c r="C147" s="52"/>
      <c r="D147" s="7" t="s">
        <v>774</v>
      </c>
      <c r="E147" s="95">
        <v>330000311</v>
      </c>
      <c r="F147" s="98">
        <v>3</v>
      </c>
      <c r="G147" s="7" t="s">
        <v>773</v>
      </c>
      <c r="H147" s="70">
        <v>40</v>
      </c>
    </row>
    <row r="148" spans="1:8" x14ac:dyDescent="0.3">
      <c r="A148" s="100">
        <v>331410127</v>
      </c>
      <c r="B148" s="112">
        <v>443420114</v>
      </c>
      <c r="C148" s="52">
        <v>690824</v>
      </c>
      <c r="D148" s="7" t="s">
        <v>135</v>
      </c>
      <c r="E148" s="95">
        <v>330000092</v>
      </c>
      <c r="F148" s="36">
        <v>3</v>
      </c>
      <c r="G148" s="7" t="s">
        <v>598</v>
      </c>
      <c r="H148" s="70">
        <v>40</v>
      </c>
    </row>
    <row r="149" spans="1:8" x14ac:dyDescent="0.3">
      <c r="A149" s="100">
        <v>331410123</v>
      </c>
      <c r="B149" s="112">
        <v>443420115</v>
      </c>
      <c r="C149" s="52">
        <v>690825</v>
      </c>
      <c r="D149" s="7" t="s">
        <v>136</v>
      </c>
      <c r="E149" s="95">
        <v>330000094</v>
      </c>
      <c r="F149" s="36">
        <v>3</v>
      </c>
      <c r="G149" s="7" t="s">
        <v>599</v>
      </c>
      <c r="H149" s="70">
        <v>40</v>
      </c>
    </row>
    <row r="150" spans="1:8" x14ac:dyDescent="0.3">
      <c r="A150" s="100">
        <v>443420116</v>
      </c>
      <c r="B150" s="112">
        <v>443420116</v>
      </c>
      <c r="C150" s="52">
        <v>690826</v>
      </c>
      <c r="D150" s="7" t="s">
        <v>137</v>
      </c>
      <c r="E150" s="95">
        <v>330000096</v>
      </c>
      <c r="F150" s="36">
        <v>3</v>
      </c>
      <c r="G150" s="7" t="s">
        <v>600</v>
      </c>
      <c r="H150" s="70">
        <v>40</v>
      </c>
    </row>
    <row r="151" spans="1:8" x14ac:dyDescent="0.3">
      <c r="A151" s="100">
        <v>333440107</v>
      </c>
      <c r="B151" s="112">
        <v>443420117</v>
      </c>
      <c r="C151" s="52">
        <v>690827</v>
      </c>
      <c r="D151" s="7" t="s">
        <v>138</v>
      </c>
      <c r="E151" s="95">
        <v>330000098</v>
      </c>
      <c r="F151" s="36">
        <v>3</v>
      </c>
      <c r="G151" s="7" t="s">
        <v>601</v>
      </c>
      <c r="H151" s="70">
        <v>40</v>
      </c>
    </row>
    <row r="152" spans="1:8" x14ac:dyDescent="0.3">
      <c r="A152" s="100">
        <v>331410120</v>
      </c>
      <c r="B152" s="112">
        <v>443420118</v>
      </c>
      <c r="C152" s="52">
        <v>690828</v>
      </c>
      <c r="D152" s="7" t="s">
        <v>139</v>
      </c>
      <c r="E152" s="95">
        <v>330000100</v>
      </c>
      <c r="F152" s="36">
        <v>3</v>
      </c>
      <c r="G152" s="7" t="s">
        <v>602</v>
      </c>
      <c r="H152" s="70">
        <v>40</v>
      </c>
    </row>
    <row r="153" spans="1:8" x14ac:dyDescent="0.3">
      <c r="A153" s="104">
        <v>333430099</v>
      </c>
      <c r="B153" s="113">
        <v>443420119</v>
      </c>
      <c r="C153" s="54">
        <v>690829</v>
      </c>
      <c r="D153" s="11" t="s">
        <v>140</v>
      </c>
      <c r="E153" s="95">
        <v>330000102</v>
      </c>
      <c r="F153" s="37">
        <v>3</v>
      </c>
      <c r="G153" s="11" t="s">
        <v>603</v>
      </c>
      <c r="H153" s="120">
        <v>40</v>
      </c>
    </row>
    <row r="154" spans="1:8" x14ac:dyDescent="0.3">
      <c r="A154" s="114">
        <v>333430100</v>
      </c>
      <c r="B154" s="114">
        <v>443420120</v>
      </c>
      <c r="C154" s="85">
        <v>690830</v>
      </c>
      <c r="D154" s="11" t="s">
        <v>141</v>
      </c>
      <c r="E154" s="95">
        <v>330000104</v>
      </c>
      <c r="F154" s="37">
        <v>3</v>
      </c>
      <c r="G154" s="86" t="s">
        <v>604</v>
      </c>
      <c r="H154" s="85">
        <v>40</v>
      </c>
    </row>
    <row r="155" spans="1:8" x14ac:dyDescent="0.3">
      <c r="A155" s="118">
        <v>443420121</v>
      </c>
      <c r="B155" s="114">
        <v>443420121</v>
      </c>
      <c r="C155" s="85"/>
      <c r="D155" s="11" t="s">
        <v>756</v>
      </c>
      <c r="E155" s="95">
        <v>330000313</v>
      </c>
      <c r="F155" s="37">
        <v>3</v>
      </c>
      <c r="G155" s="86" t="s">
        <v>758</v>
      </c>
      <c r="H155" s="121">
        <v>40</v>
      </c>
    </row>
    <row r="156" spans="1:8" x14ac:dyDescent="0.3">
      <c r="A156" s="118">
        <v>443420122</v>
      </c>
      <c r="B156" s="114">
        <v>443420122</v>
      </c>
      <c r="C156" s="85"/>
      <c r="D156" s="11" t="s">
        <v>757</v>
      </c>
      <c r="E156" s="95">
        <v>330000315</v>
      </c>
      <c r="F156" s="37">
        <v>3</v>
      </c>
      <c r="G156" s="86" t="s">
        <v>759</v>
      </c>
      <c r="H156" s="70">
        <v>40</v>
      </c>
    </row>
    <row r="157" spans="1:8" ht="21.75" customHeight="1" thickBot="1" x14ac:dyDescent="0.35">
      <c r="A157" s="29" t="s">
        <v>142</v>
      </c>
      <c r="B157" s="28"/>
      <c r="C157" s="28"/>
      <c r="D157" s="28"/>
      <c r="E157" s="97"/>
      <c r="F157" s="39"/>
      <c r="G157" s="28"/>
      <c r="H157" s="7"/>
    </row>
    <row r="158" spans="1:8" x14ac:dyDescent="0.3">
      <c r="A158" s="101">
        <v>331410116</v>
      </c>
      <c r="B158" s="111">
        <v>441400128</v>
      </c>
      <c r="C158" s="51">
        <v>690831</v>
      </c>
      <c r="D158" s="7" t="s">
        <v>143</v>
      </c>
      <c r="E158" s="95">
        <v>330000054</v>
      </c>
      <c r="F158" s="36">
        <v>2</v>
      </c>
      <c r="G158" s="7" t="s">
        <v>605</v>
      </c>
      <c r="H158" s="70">
        <v>60</v>
      </c>
    </row>
    <row r="159" spans="1:8" x14ac:dyDescent="0.3">
      <c r="A159" s="100">
        <v>331410124</v>
      </c>
      <c r="B159" s="112">
        <v>441400129</v>
      </c>
      <c r="C159" s="52">
        <v>690832</v>
      </c>
      <c r="D159" s="7" t="s">
        <v>144</v>
      </c>
      <c r="E159" s="95">
        <v>330000041</v>
      </c>
      <c r="F159" s="36">
        <v>2</v>
      </c>
      <c r="G159" s="7" t="s">
        <v>606</v>
      </c>
      <c r="H159" s="70">
        <v>60</v>
      </c>
    </row>
    <row r="160" spans="1:8" x14ac:dyDescent="0.3">
      <c r="A160" s="100">
        <v>331410119</v>
      </c>
      <c r="B160" s="112">
        <v>441400130</v>
      </c>
      <c r="C160" s="52">
        <v>690833</v>
      </c>
      <c r="D160" s="7" t="s">
        <v>145</v>
      </c>
      <c r="E160" s="95">
        <v>330000044</v>
      </c>
      <c r="F160" s="36">
        <v>2</v>
      </c>
      <c r="G160" s="7" t="s">
        <v>607</v>
      </c>
      <c r="H160" s="70">
        <v>60</v>
      </c>
    </row>
    <row r="161" spans="1:8" x14ac:dyDescent="0.3">
      <c r="A161" s="100">
        <v>441400131</v>
      </c>
      <c r="B161" s="112">
        <v>441400131</v>
      </c>
      <c r="C161" s="52">
        <v>690834</v>
      </c>
      <c r="D161" s="7" t="s">
        <v>146</v>
      </c>
      <c r="E161" s="95">
        <v>330000047</v>
      </c>
      <c r="F161" s="36">
        <v>2</v>
      </c>
      <c r="G161" s="7" t="s">
        <v>608</v>
      </c>
      <c r="H161" s="70">
        <v>60</v>
      </c>
    </row>
    <row r="162" spans="1:8" x14ac:dyDescent="0.3">
      <c r="A162" s="107">
        <v>331410101</v>
      </c>
      <c r="B162" s="112">
        <v>441400132</v>
      </c>
      <c r="C162" s="52">
        <v>690835</v>
      </c>
      <c r="D162" s="7" t="s">
        <v>147</v>
      </c>
      <c r="E162" s="95">
        <v>330000049</v>
      </c>
      <c r="F162" s="36">
        <v>2</v>
      </c>
      <c r="G162" s="7" t="s">
        <v>609</v>
      </c>
      <c r="H162" s="70">
        <v>60</v>
      </c>
    </row>
    <row r="163" spans="1:8" x14ac:dyDescent="0.3">
      <c r="A163" s="100">
        <v>332420126</v>
      </c>
      <c r="B163" s="112">
        <v>441400133</v>
      </c>
      <c r="C163" s="52">
        <v>690836</v>
      </c>
      <c r="D163" s="7" t="s">
        <v>148</v>
      </c>
      <c r="E163" s="95">
        <v>330000051</v>
      </c>
      <c r="F163" s="36">
        <v>2</v>
      </c>
      <c r="G163" s="7" t="s">
        <v>610</v>
      </c>
      <c r="H163" s="70">
        <v>60</v>
      </c>
    </row>
    <row r="164" spans="1:8" x14ac:dyDescent="0.3">
      <c r="A164" s="100">
        <v>441400134</v>
      </c>
      <c r="B164" s="112">
        <v>441400134</v>
      </c>
      <c r="C164" s="52">
        <v>690837</v>
      </c>
      <c r="D164" s="7" t="s">
        <v>149</v>
      </c>
      <c r="E164" s="95">
        <v>330000053</v>
      </c>
      <c r="F164" s="36">
        <v>2</v>
      </c>
      <c r="G164" s="7" t="s">
        <v>611</v>
      </c>
      <c r="H164" s="70">
        <v>60</v>
      </c>
    </row>
    <row r="165" spans="1:8" x14ac:dyDescent="0.3">
      <c r="A165" s="100">
        <v>441400135</v>
      </c>
      <c r="B165" s="112">
        <v>441400135</v>
      </c>
      <c r="C165" s="52"/>
      <c r="D165" s="7" t="s">
        <v>768</v>
      </c>
      <c r="E165" s="95">
        <v>330000290</v>
      </c>
      <c r="F165" s="98">
        <v>2</v>
      </c>
      <c r="G165" s="7" t="s">
        <v>770</v>
      </c>
      <c r="H165" s="70">
        <v>60</v>
      </c>
    </row>
    <row r="166" spans="1:8" x14ac:dyDescent="0.3">
      <c r="A166" s="100">
        <v>441400136</v>
      </c>
      <c r="B166" s="112">
        <v>441400136</v>
      </c>
      <c r="C166" s="52"/>
      <c r="D166" s="7" t="s">
        <v>769</v>
      </c>
      <c r="E166" s="95">
        <v>330000292</v>
      </c>
      <c r="F166" s="98">
        <v>2</v>
      </c>
      <c r="G166" s="7" t="s">
        <v>771</v>
      </c>
      <c r="H166" s="70">
        <v>60</v>
      </c>
    </row>
    <row r="167" spans="1:8" x14ac:dyDescent="0.3">
      <c r="A167" s="100">
        <v>332420100</v>
      </c>
      <c r="B167" s="112">
        <v>441400137</v>
      </c>
      <c r="C167" s="52">
        <v>690840</v>
      </c>
      <c r="D167" s="7" t="s">
        <v>150</v>
      </c>
      <c r="E167" s="95">
        <v>330000056</v>
      </c>
      <c r="F167" s="36">
        <v>2</v>
      </c>
      <c r="G167" s="7" t="s">
        <v>612</v>
      </c>
      <c r="H167" s="70">
        <v>60</v>
      </c>
    </row>
    <row r="168" spans="1:8" x14ac:dyDescent="0.3">
      <c r="A168" s="100">
        <v>332420101</v>
      </c>
      <c r="B168" s="112">
        <v>441400138</v>
      </c>
      <c r="C168" s="52">
        <v>690841</v>
      </c>
      <c r="D168" s="7" t="s">
        <v>151</v>
      </c>
      <c r="E168" s="95">
        <v>330000059</v>
      </c>
      <c r="F168" s="36">
        <v>2</v>
      </c>
      <c r="G168" s="7" t="s">
        <v>613</v>
      </c>
      <c r="H168" s="70">
        <v>60</v>
      </c>
    </row>
    <row r="169" spans="1:8" x14ac:dyDescent="0.3">
      <c r="A169" s="100">
        <v>332420102</v>
      </c>
      <c r="B169" s="112">
        <v>441400139</v>
      </c>
      <c r="C169" s="52">
        <v>690842</v>
      </c>
      <c r="D169" s="7" t="s">
        <v>152</v>
      </c>
      <c r="E169" s="95">
        <v>330000062</v>
      </c>
      <c r="F169" s="36">
        <v>2</v>
      </c>
      <c r="G169" s="7" t="s">
        <v>614</v>
      </c>
      <c r="H169" s="70">
        <v>60</v>
      </c>
    </row>
    <row r="170" spans="1:8" x14ac:dyDescent="0.3">
      <c r="A170" s="100">
        <v>332420103</v>
      </c>
      <c r="B170" s="112">
        <v>441400140</v>
      </c>
      <c r="C170" s="52">
        <v>690843</v>
      </c>
      <c r="D170" s="7" t="s">
        <v>153</v>
      </c>
      <c r="E170" s="95">
        <v>330000065</v>
      </c>
      <c r="F170" s="36">
        <v>2</v>
      </c>
      <c r="G170" s="7" t="s">
        <v>615</v>
      </c>
      <c r="H170" s="70">
        <v>60</v>
      </c>
    </row>
    <row r="171" spans="1:8" x14ac:dyDescent="0.3">
      <c r="A171" s="100">
        <v>331410100</v>
      </c>
      <c r="B171" s="112">
        <v>441400141</v>
      </c>
      <c r="C171" s="52">
        <v>690844</v>
      </c>
      <c r="D171" s="7" t="s">
        <v>154</v>
      </c>
      <c r="E171" s="95">
        <v>330000068</v>
      </c>
      <c r="F171" s="36">
        <v>2</v>
      </c>
      <c r="G171" s="7" t="s">
        <v>616</v>
      </c>
      <c r="H171" s="70">
        <v>60</v>
      </c>
    </row>
    <row r="172" spans="1:8" x14ac:dyDescent="0.3">
      <c r="A172" s="104">
        <v>332420105</v>
      </c>
      <c r="B172" s="113">
        <v>441400142</v>
      </c>
      <c r="C172" s="54">
        <v>690845</v>
      </c>
      <c r="D172" s="7" t="s">
        <v>155</v>
      </c>
      <c r="E172" s="95">
        <v>330000071</v>
      </c>
      <c r="F172" s="36">
        <v>2</v>
      </c>
      <c r="G172" s="7" t="s">
        <v>617</v>
      </c>
      <c r="H172" s="70">
        <v>60</v>
      </c>
    </row>
    <row r="173" spans="1:8" x14ac:dyDescent="0.3">
      <c r="A173" s="114">
        <v>332420106</v>
      </c>
      <c r="B173" s="114">
        <v>441400143</v>
      </c>
      <c r="C173" s="85">
        <v>690846</v>
      </c>
      <c r="D173" s="87" t="s">
        <v>156</v>
      </c>
      <c r="E173" s="95">
        <v>330000073</v>
      </c>
      <c r="F173" s="36">
        <v>2</v>
      </c>
      <c r="G173" s="7" t="s">
        <v>618</v>
      </c>
      <c r="H173" s="70">
        <v>60</v>
      </c>
    </row>
    <row r="174" spans="1:8" x14ac:dyDescent="0.3">
      <c r="A174" s="118">
        <v>441400144</v>
      </c>
      <c r="B174" s="114">
        <v>441400144</v>
      </c>
      <c r="C174" s="85"/>
      <c r="D174" s="7" t="s">
        <v>766</v>
      </c>
      <c r="E174" s="95">
        <v>330000296</v>
      </c>
      <c r="F174" s="36">
        <v>2</v>
      </c>
      <c r="G174" s="86" t="s">
        <v>764</v>
      </c>
      <c r="H174" s="70">
        <v>60</v>
      </c>
    </row>
    <row r="175" spans="1:8" x14ac:dyDescent="0.3">
      <c r="A175" s="118">
        <v>441400145</v>
      </c>
      <c r="B175" s="114">
        <v>441400145</v>
      </c>
      <c r="C175" s="85"/>
      <c r="D175" s="7" t="s">
        <v>767</v>
      </c>
      <c r="E175" s="95">
        <v>330000298</v>
      </c>
      <c r="F175" s="36">
        <v>2</v>
      </c>
      <c r="G175" s="86" t="s">
        <v>765</v>
      </c>
      <c r="H175" s="70">
        <v>60</v>
      </c>
    </row>
    <row r="176" spans="1:8" ht="21.75" customHeight="1" thickBot="1" x14ac:dyDescent="0.35">
      <c r="A176" s="29" t="s">
        <v>157</v>
      </c>
      <c r="B176" s="28"/>
      <c r="C176" s="28"/>
      <c r="D176" s="28"/>
      <c r="E176" s="97"/>
      <c r="F176" s="39"/>
      <c r="G176" s="28"/>
      <c r="H176" s="7"/>
    </row>
    <row r="177" spans="1:8" x14ac:dyDescent="0.3">
      <c r="A177" s="101">
        <v>443420123</v>
      </c>
      <c r="B177" s="111">
        <v>443420123</v>
      </c>
      <c r="C177" s="51">
        <v>690849</v>
      </c>
      <c r="D177" s="7" t="s">
        <v>158</v>
      </c>
      <c r="E177" s="95">
        <v>330000305</v>
      </c>
      <c r="F177" s="36">
        <v>4</v>
      </c>
      <c r="G177" s="7" t="s">
        <v>619</v>
      </c>
      <c r="H177" s="70">
        <v>30</v>
      </c>
    </row>
    <row r="178" spans="1:8" x14ac:dyDescent="0.3">
      <c r="A178" s="100">
        <v>443420124</v>
      </c>
      <c r="B178" s="112">
        <v>443420124</v>
      </c>
      <c r="C178" s="52">
        <v>690850</v>
      </c>
      <c r="D178" s="7" t="s">
        <v>159</v>
      </c>
      <c r="E178" s="95">
        <v>330000306</v>
      </c>
      <c r="F178" s="36">
        <v>4</v>
      </c>
      <c r="G178" s="7" t="s">
        <v>620</v>
      </c>
      <c r="H178" s="70">
        <v>30</v>
      </c>
    </row>
    <row r="179" spans="1:8" x14ac:dyDescent="0.3">
      <c r="A179" s="100">
        <v>443420125</v>
      </c>
      <c r="B179" s="112">
        <v>443420125</v>
      </c>
      <c r="C179" s="52">
        <v>690851</v>
      </c>
      <c r="D179" s="7" t="s">
        <v>160</v>
      </c>
      <c r="E179" s="95">
        <v>330000307</v>
      </c>
      <c r="F179" s="36">
        <v>4</v>
      </c>
      <c r="G179" s="7" t="s">
        <v>621</v>
      </c>
      <c r="H179" s="70">
        <v>30</v>
      </c>
    </row>
    <row r="180" spans="1:8" x14ac:dyDescent="0.3">
      <c r="A180" s="100">
        <v>443420126</v>
      </c>
      <c r="B180" s="112">
        <v>443420126</v>
      </c>
      <c r="C180" s="52">
        <v>690852</v>
      </c>
      <c r="D180" s="7" t="s">
        <v>161</v>
      </c>
      <c r="E180" s="95">
        <v>330000308</v>
      </c>
      <c r="F180" s="36">
        <v>4</v>
      </c>
      <c r="G180" s="7" t="s">
        <v>622</v>
      </c>
      <c r="H180" s="70">
        <v>30</v>
      </c>
    </row>
    <row r="181" spans="1:8" x14ac:dyDescent="0.3">
      <c r="A181" s="100">
        <v>333440101</v>
      </c>
      <c r="B181" s="112">
        <v>443420127</v>
      </c>
      <c r="C181" s="52">
        <v>690853</v>
      </c>
      <c r="D181" s="7" t="s">
        <v>162</v>
      </c>
      <c r="E181" s="95">
        <v>330000087</v>
      </c>
      <c r="F181" s="36">
        <v>4</v>
      </c>
      <c r="G181" s="7" t="s">
        <v>623</v>
      </c>
      <c r="H181" s="70">
        <v>30</v>
      </c>
    </row>
    <row r="182" spans="1:8" x14ac:dyDescent="0.3">
      <c r="A182" s="100">
        <v>333440100</v>
      </c>
      <c r="B182" s="112">
        <v>443420128</v>
      </c>
      <c r="C182" s="52">
        <v>690854</v>
      </c>
      <c r="D182" s="7" t="s">
        <v>163</v>
      </c>
      <c r="E182" s="95">
        <v>330000089</v>
      </c>
      <c r="F182" s="36">
        <v>4</v>
      </c>
      <c r="G182" s="7" t="s">
        <v>624</v>
      </c>
      <c r="H182" s="70">
        <v>30</v>
      </c>
    </row>
    <row r="183" spans="1:8" x14ac:dyDescent="0.3">
      <c r="A183" s="100">
        <v>333440102</v>
      </c>
      <c r="B183" s="112">
        <v>443420129</v>
      </c>
      <c r="C183" s="52">
        <v>690855</v>
      </c>
      <c r="D183" s="7" t="s">
        <v>164</v>
      </c>
      <c r="E183" s="95">
        <v>330000091</v>
      </c>
      <c r="F183" s="36">
        <v>4</v>
      </c>
      <c r="G183" s="7" t="s">
        <v>625</v>
      </c>
      <c r="H183" s="70">
        <v>30</v>
      </c>
    </row>
    <row r="184" spans="1:8" x14ac:dyDescent="0.3">
      <c r="A184" s="100">
        <v>443420130</v>
      </c>
      <c r="B184" s="112">
        <v>443420130</v>
      </c>
      <c r="C184" s="52"/>
      <c r="D184" s="7" t="s">
        <v>760</v>
      </c>
      <c r="E184" s="95">
        <v>330000310</v>
      </c>
      <c r="F184" s="98">
        <v>4</v>
      </c>
      <c r="G184" s="7" t="s">
        <v>762</v>
      </c>
      <c r="H184" s="70">
        <v>30</v>
      </c>
    </row>
    <row r="185" spans="1:8" x14ac:dyDescent="0.3">
      <c r="A185" s="100">
        <v>443420131</v>
      </c>
      <c r="B185" s="112">
        <v>443420131</v>
      </c>
      <c r="C185" s="52"/>
      <c r="D185" s="7" t="s">
        <v>761</v>
      </c>
      <c r="E185" s="95">
        <v>330000312</v>
      </c>
      <c r="F185" s="98">
        <v>4</v>
      </c>
      <c r="G185" s="7" t="s">
        <v>763</v>
      </c>
      <c r="H185" s="70">
        <v>30</v>
      </c>
    </row>
    <row r="186" spans="1:8" x14ac:dyDescent="0.3">
      <c r="A186" s="100">
        <v>331410121</v>
      </c>
      <c r="B186" s="112">
        <v>443420132</v>
      </c>
      <c r="C186" s="52">
        <v>690860</v>
      </c>
      <c r="D186" s="7" t="s">
        <v>165</v>
      </c>
      <c r="E186" s="95">
        <v>330000093</v>
      </c>
      <c r="F186" s="36">
        <v>4</v>
      </c>
      <c r="G186" s="7" t="s">
        <v>626</v>
      </c>
      <c r="H186" s="70">
        <v>30</v>
      </c>
    </row>
    <row r="187" spans="1:8" x14ac:dyDescent="0.3">
      <c r="A187" s="100">
        <v>331410122</v>
      </c>
      <c r="B187" s="112">
        <v>443420133</v>
      </c>
      <c r="C187" s="52">
        <v>690861</v>
      </c>
      <c r="D187" s="7" t="s">
        <v>166</v>
      </c>
      <c r="E187" s="95">
        <v>330000095</v>
      </c>
      <c r="F187" s="36">
        <v>4</v>
      </c>
      <c r="G187" s="7" t="s">
        <v>627</v>
      </c>
      <c r="H187" s="70">
        <v>30</v>
      </c>
    </row>
    <row r="188" spans="1:8" x14ac:dyDescent="0.3">
      <c r="A188" s="100">
        <v>333430001</v>
      </c>
      <c r="B188" s="112">
        <v>443420134</v>
      </c>
      <c r="C188" s="52">
        <v>690862</v>
      </c>
      <c r="D188" s="7" t="s">
        <v>167</v>
      </c>
      <c r="E188" s="95">
        <v>330000097</v>
      </c>
      <c r="F188" s="36">
        <v>4</v>
      </c>
      <c r="G188" s="7" t="s">
        <v>628</v>
      </c>
      <c r="H188" s="70">
        <v>30</v>
      </c>
    </row>
    <row r="189" spans="1:8" x14ac:dyDescent="0.3">
      <c r="A189" s="100">
        <v>443420135</v>
      </c>
      <c r="B189" s="112">
        <v>443420135</v>
      </c>
      <c r="C189" s="52">
        <v>690863</v>
      </c>
      <c r="D189" s="7" t="s">
        <v>168</v>
      </c>
      <c r="E189" s="95">
        <v>330000099</v>
      </c>
      <c r="F189" s="36">
        <v>4</v>
      </c>
      <c r="G189" s="7" t="s">
        <v>629</v>
      </c>
      <c r="H189" s="70">
        <v>30</v>
      </c>
    </row>
    <row r="190" spans="1:8" x14ac:dyDescent="0.3">
      <c r="A190" s="100">
        <v>331410125</v>
      </c>
      <c r="B190" s="112">
        <v>443420136</v>
      </c>
      <c r="C190" s="52">
        <v>690864</v>
      </c>
      <c r="D190" s="7" t="s">
        <v>169</v>
      </c>
      <c r="E190" s="95">
        <v>330000101</v>
      </c>
      <c r="F190" s="36">
        <v>4</v>
      </c>
      <c r="G190" s="7" t="s">
        <v>630</v>
      </c>
      <c r="H190" s="70">
        <v>30</v>
      </c>
    </row>
    <row r="191" spans="1:8" x14ac:dyDescent="0.3">
      <c r="A191" s="104">
        <v>333410124</v>
      </c>
      <c r="B191" s="119">
        <v>443420137</v>
      </c>
      <c r="C191" s="54">
        <v>690865</v>
      </c>
      <c r="D191" s="11" t="s">
        <v>170</v>
      </c>
      <c r="E191" s="95">
        <v>330000103</v>
      </c>
      <c r="F191" s="37">
        <v>4</v>
      </c>
      <c r="G191" s="11" t="s">
        <v>631</v>
      </c>
      <c r="H191" s="120">
        <v>30</v>
      </c>
    </row>
    <row r="192" spans="1:8" x14ac:dyDescent="0.3">
      <c r="A192" s="114">
        <v>443420138</v>
      </c>
      <c r="B192" s="114">
        <v>443420138</v>
      </c>
      <c r="C192" s="85">
        <v>690866</v>
      </c>
      <c r="D192" s="11" t="s">
        <v>171</v>
      </c>
      <c r="E192" s="95">
        <v>330000105</v>
      </c>
      <c r="F192" s="37">
        <v>4</v>
      </c>
      <c r="G192" s="86" t="s">
        <v>632</v>
      </c>
      <c r="H192" s="85">
        <v>30</v>
      </c>
    </row>
    <row r="193" spans="1:8" x14ac:dyDescent="0.3">
      <c r="A193" s="118">
        <v>443420139</v>
      </c>
      <c r="B193" s="114">
        <v>443420139</v>
      </c>
      <c r="C193" s="85"/>
      <c r="D193" s="11" t="s">
        <v>752</v>
      </c>
      <c r="E193" s="95">
        <v>330000314</v>
      </c>
      <c r="F193" s="37">
        <v>4</v>
      </c>
      <c r="G193" s="86" t="s">
        <v>754</v>
      </c>
      <c r="H193" s="121">
        <v>30</v>
      </c>
    </row>
    <row r="194" spans="1:8" x14ac:dyDescent="0.3">
      <c r="A194" s="118">
        <v>443420140</v>
      </c>
      <c r="B194" s="114">
        <v>443420140</v>
      </c>
      <c r="C194" s="85"/>
      <c r="D194" s="11" t="s">
        <v>753</v>
      </c>
      <c r="E194" s="95">
        <v>330000316</v>
      </c>
      <c r="F194" s="37">
        <v>4</v>
      </c>
      <c r="G194" s="86" t="s">
        <v>755</v>
      </c>
      <c r="H194" s="70">
        <v>30</v>
      </c>
    </row>
    <row r="195" spans="1:8" ht="21.75" customHeight="1" x14ac:dyDescent="0.3">
      <c r="A195" s="29" t="s">
        <v>172</v>
      </c>
      <c r="B195" s="28"/>
      <c r="C195" s="28"/>
      <c r="D195" s="28"/>
      <c r="E195" s="97"/>
      <c r="F195" s="39"/>
      <c r="G195" s="28"/>
      <c r="H195" s="7"/>
    </row>
    <row r="196" spans="1:8" ht="29.25" customHeight="1" x14ac:dyDescent="0.3">
      <c r="A196" s="5">
        <v>447330225</v>
      </c>
      <c r="B196" s="18">
        <v>447330225</v>
      </c>
      <c r="C196" s="32">
        <v>790779</v>
      </c>
      <c r="D196" s="7" t="s">
        <v>240</v>
      </c>
      <c r="E196" s="95">
        <v>330000024</v>
      </c>
      <c r="F196" s="36"/>
      <c r="G196" s="7" t="s">
        <v>659</v>
      </c>
      <c r="H196" s="70">
        <v>60</v>
      </c>
    </row>
    <row r="197" spans="1:8" ht="37.5" customHeight="1" x14ac:dyDescent="0.3">
      <c r="A197" s="5">
        <v>447330224</v>
      </c>
      <c r="B197" s="18">
        <v>447330224</v>
      </c>
      <c r="C197" s="32">
        <v>790780</v>
      </c>
      <c r="D197" s="7" t="s">
        <v>243</v>
      </c>
      <c r="E197" s="95">
        <v>330000025</v>
      </c>
      <c r="F197" s="36"/>
      <c r="G197" s="7" t="s">
        <v>660</v>
      </c>
      <c r="H197" s="70">
        <v>60</v>
      </c>
    </row>
    <row r="198" spans="1:8" ht="36" customHeight="1" x14ac:dyDescent="0.3">
      <c r="A198" s="5">
        <v>447330235</v>
      </c>
      <c r="B198" s="18">
        <v>447330235</v>
      </c>
      <c r="C198" s="32">
        <v>790782</v>
      </c>
      <c r="D198" s="7" t="s">
        <v>244</v>
      </c>
      <c r="E198" s="95">
        <v>330000026</v>
      </c>
      <c r="F198" s="36"/>
      <c r="G198" s="7" t="s">
        <v>661</v>
      </c>
      <c r="H198" s="70">
        <v>60</v>
      </c>
    </row>
    <row r="199" spans="1:8" ht="33.75" customHeight="1" x14ac:dyDescent="0.3">
      <c r="A199" s="5">
        <v>447330236</v>
      </c>
      <c r="B199" s="18">
        <v>447330236</v>
      </c>
      <c r="C199" s="32">
        <v>790781</v>
      </c>
      <c r="D199" s="7" t="s">
        <v>245</v>
      </c>
      <c r="E199" s="95">
        <v>330000027</v>
      </c>
      <c r="F199" s="36"/>
      <c r="G199" s="7" t="s">
        <v>662</v>
      </c>
      <c r="H199" s="70">
        <v>60</v>
      </c>
    </row>
    <row r="200" spans="1:8" ht="43.5" customHeight="1" x14ac:dyDescent="0.3">
      <c r="A200" s="5">
        <v>447330250</v>
      </c>
      <c r="B200" s="18">
        <v>447330250</v>
      </c>
      <c r="C200" s="32">
        <v>708428</v>
      </c>
      <c r="D200" s="7" t="s">
        <v>246</v>
      </c>
      <c r="E200" s="95">
        <v>330000288</v>
      </c>
      <c r="F200" s="36"/>
      <c r="G200" s="7" t="s">
        <v>663</v>
      </c>
      <c r="H200" s="70">
        <v>60</v>
      </c>
    </row>
    <row r="201" spans="1:8" ht="31.5" customHeight="1" x14ac:dyDescent="0.3">
      <c r="A201" s="5">
        <v>447330237</v>
      </c>
      <c r="B201" s="18">
        <v>447330237</v>
      </c>
      <c r="C201" s="32">
        <v>708429</v>
      </c>
      <c r="D201" s="7" t="s">
        <v>247</v>
      </c>
      <c r="E201" s="95">
        <v>330000028</v>
      </c>
      <c r="F201" s="36"/>
      <c r="G201" s="7" t="s">
        <v>664</v>
      </c>
      <c r="H201" s="70">
        <v>60</v>
      </c>
    </row>
    <row r="202" spans="1:8" ht="36" customHeight="1" x14ac:dyDescent="0.3">
      <c r="A202" s="5" t="s">
        <v>467</v>
      </c>
      <c r="B202" s="18" t="s">
        <v>467</v>
      </c>
      <c r="C202" s="32">
        <v>708495</v>
      </c>
      <c r="D202" s="7" t="s">
        <v>241</v>
      </c>
      <c r="E202" s="95">
        <v>330000029</v>
      </c>
      <c r="F202" s="36"/>
      <c r="G202" s="7" t="s">
        <v>665</v>
      </c>
      <c r="H202" s="70">
        <v>30</v>
      </c>
    </row>
    <row r="203" spans="1:8" ht="36.75" customHeight="1" x14ac:dyDescent="0.3">
      <c r="A203" s="5">
        <v>447330239</v>
      </c>
      <c r="B203" s="18">
        <v>447330239</v>
      </c>
      <c r="C203" s="32">
        <v>708496</v>
      </c>
      <c r="D203" s="7" t="s">
        <v>248</v>
      </c>
      <c r="E203" s="95">
        <v>330000030</v>
      </c>
      <c r="F203" s="36"/>
      <c r="G203" s="7" t="s">
        <v>666</v>
      </c>
      <c r="H203" s="70">
        <v>30</v>
      </c>
    </row>
    <row r="204" spans="1:8" ht="32.25" customHeight="1" x14ac:dyDescent="0.3">
      <c r="A204" s="5">
        <v>447330240</v>
      </c>
      <c r="B204" s="18">
        <v>447330240</v>
      </c>
      <c r="C204" s="32">
        <v>708497</v>
      </c>
      <c r="D204" s="7" t="s">
        <v>242</v>
      </c>
      <c r="E204" s="95">
        <v>330000031</v>
      </c>
      <c r="F204" s="36"/>
      <c r="G204" s="7" t="s">
        <v>667</v>
      </c>
      <c r="H204" s="70">
        <v>30</v>
      </c>
    </row>
    <row r="205" spans="1:8" ht="43.5" customHeight="1" x14ac:dyDescent="0.3">
      <c r="A205" s="5">
        <v>447330238</v>
      </c>
      <c r="B205" s="18">
        <v>447330238</v>
      </c>
      <c r="C205" s="32">
        <v>708498</v>
      </c>
      <c r="D205" s="7" t="s">
        <v>249</v>
      </c>
      <c r="E205" s="95">
        <v>330000032</v>
      </c>
      <c r="F205" s="36"/>
      <c r="G205" s="7" t="s">
        <v>668</v>
      </c>
      <c r="H205" s="70">
        <v>30</v>
      </c>
    </row>
    <row r="206" spans="1:8" ht="42.75" customHeight="1" x14ac:dyDescent="0.3">
      <c r="A206" s="5">
        <v>447330255</v>
      </c>
      <c r="B206" s="18">
        <v>447330255</v>
      </c>
      <c r="C206" s="32">
        <v>708908</v>
      </c>
      <c r="D206" s="7" t="s">
        <v>250</v>
      </c>
      <c r="E206" s="95">
        <v>330000033</v>
      </c>
      <c r="F206" s="36"/>
      <c r="G206" s="7" t="s">
        <v>669</v>
      </c>
      <c r="H206" s="70">
        <v>30</v>
      </c>
    </row>
    <row r="207" spans="1:8" ht="44.25" customHeight="1" x14ac:dyDescent="0.3">
      <c r="A207" s="5">
        <v>447330242</v>
      </c>
      <c r="B207" s="18">
        <v>447330242</v>
      </c>
      <c r="C207" s="32">
        <v>708909</v>
      </c>
      <c r="D207" s="7" t="s">
        <v>251</v>
      </c>
      <c r="E207" s="95">
        <v>330000034</v>
      </c>
      <c r="F207" s="36"/>
      <c r="G207" s="7" t="s">
        <v>670</v>
      </c>
      <c r="H207" s="70">
        <v>30</v>
      </c>
    </row>
    <row r="208" spans="1:8" ht="21.6" thickBot="1" x14ac:dyDescent="0.35">
      <c r="A208" s="34" t="s">
        <v>177</v>
      </c>
      <c r="B208" s="42" t="s">
        <v>178</v>
      </c>
      <c r="C208" s="28"/>
      <c r="D208" s="28"/>
      <c r="E208" s="97"/>
      <c r="F208" s="39"/>
      <c r="G208" s="28"/>
      <c r="H208" s="7"/>
    </row>
    <row r="209" spans="1:8" ht="39" customHeight="1" x14ac:dyDescent="0.3">
      <c r="A209" s="2">
        <v>447330209</v>
      </c>
      <c r="B209" s="17">
        <v>447330209</v>
      </c>
      <c r="C209" s="31">
        <v>604683</v>
      </c>
      <c r="D209" s="7" t="s">
        <v>252</v>
      </c>
      <c r="E209" s="95">
        <v>330000284</v>
      </c>
      <c r="F209" s="36"/>
      <c r="G209" s="7" t="s">
        <v>672</v>
      </c>
      <c r="H209" s="70">
        <v>60</v>
      </c>
    </row>
    <row r="210" spans="1:8" ht="35.25" customHeight="1" x14ac:dyDescent="0.3">
      <c r="A210" s="5">
        <v>447330208</v>
      </c>
      <c r="B210" s="18">
        <v>447330208</v>
      </c>
      <c r="C210" s="32">
        <v>604684</v>
      </c>
      <c r="D210" s="7" t="s">
        <v>253</v>
      </c>
      <c r="E210" s="95">
        <v>330000285</v>
      </c>
      <c r="F210" s="36"/>
      <c r="G210" s="7" t="s">
        <v>671</v>
      </c>
      <c r="H210" s="70">
        <v>60</v>
      </c>
    </row>
    <row r="211" spans="1:8" ht="33" customHeight="1" x14ac:dyDescent="0.3">
      <c r="A211" s="5">
        <v>447330212</v>
      </c>
      <c r="B211" s="18">
        <v>447330212</v>
      </c>
      <c r="C211" s="32">
        <v>604685</v>
      </c>
      <c r="D211" s="7" t="s">
        <v>254</v>
      </c>
      <c r="E211" s="95">
        <v>330000286</v>
      </c>
      <c r="F211" s="36"/>
      <c r="G211" s="7" t="s">
        <v>673</v>
      </c>
      <c r="H211" s="70">
        <v>60</v>
      </c>
    </row>
    <row r="212" spans="1:8" ht="31.5" customHeight="1" x14ac:dyDescent="0.3">
      <c r="A212" s="5">
        <v>447330243</v>
      </c>
      <c r="B212" s="18">
        <v>447330243</v>
      </c>
      <c r="C212" s="32">
        <v>604686</v>
      </c>
      <c r="D212" s="7" t="s">
        <v>255</v>
      </c>
      <c r="E212" s="95">
        <v>330000287</v>
      </c>
      <c r="F212" s="36"/>
      <c r="G212" s="7" t="s">
        <v>674</v>
      </c>
      <c r="H212" s="70">
        <v>60</v>
      </c>
    </row>
    <row r="213" spans="1:8" ht="50.25" customHeight="1" x14ac:dyDescent="0.3">
      <c r="A213" s="5" t="s">
        <v>790</v>
      </c>
      <c r="B213" s="18">
        <v>447330247</v>
      </c>
      <c r="C213" s="32">
        <v>604687</v>
      </c>
      <c r="D213" s="7" t="s">
        <v>256</v>
      </c>
      <c r="E213" s="95" t="s">
        <v>788</v>
      </c>
      <c r="F213" s="36"/>
      <c r="G213" s="7" t="s">
        <v>675</v>
      </c>
      <c r="H213" s="70">
        <v>60</v>
      </c>
    </row>
    <row r="214" spans="1:8" ht="21.6" thickBot="1" x14ac:dyDescent="0.35">
      <c r="A214" s="43" t="s">
        <v>180</v>
      </c>
      <c r="B214" s="44" t="s">
        <v>179</v>
      </c>
      <c r="C214" s="40"/>
      <c r="D214" s="40"/>
      <c r="E214" s="97"/>
      <c r="F214" s="41"/>
      <c r="G214" s="40"/>
      <c r="H214" s="7"/>
    </row>
    <row r="215" spans="1:8" x14ac:dyDescent="0.3">
      <c r="A215" s="100">
        <v>334180203</v>
      </c>
      <c r="C215" s="52">
        <v>666615</v>
      </c>
      <c r="D215" s="7" t="s">
        <v>275</v>
      </c>
      <c r="E215" s="95">
        <v>330000022</v>
      </c>
      <c r="F215" s="36">
        <v>1</v>
      </c>
      <c r="G215" s="33" t="s">
        <v>276</v>
      </c>
      <c r="H215" s="7">
        <v>120</v>
      </c>
    </row>
    <row r="216" spans="1:8" x14ac:dyDescent="0.3">
      <c r="A216" s="5">
        <v>334180202</v>
      </c>
      <c r="C216" s="32">
        <v>666616</v>
      </c>
      <c r="D216" s="7" t="s">
        <v>277</v>
      </c>
      <c r="E216" s="95">
        <v>330000020</v>
      </c>
      <c r="F216" s="36">
        <v>3</v>
      </c>
      <c r="G216" s="33" t="s">
        <v>278</v>
      </c>
      <c r="H216" s="70">
        <v>40</v>
      </c>
    </row>
    <row r="217" spans="1:8" ht="21.6" thickBot="1" x14ac:dyDescent="0.35">
      <c r="A217" s="43" t="s">
        <v>180</v>
      </c>
      <c r="B217" s="44" t="s">
        <v>179</v>
      </c>
      <c r="C217" s="40"/>
      <c r="D217" s="40"/>
      <c r="E217" s="97"/>
      <c r="F217" s="41"/>
      <c r="G217" s="40"/>
      <c r="H217" s="7"/>
    </row>
    <row r="218" spans="1:8" ht="20.399999999999999" x14ac:dyDescent="0.3">
      <c r="A218" s="5">
        <v>339970101</v>
      </c>
      <c r="B218" s="5">
        <v>339970101</v>
      </c>
      <c r="C218" s="5">
        <v>9630710580</v>
      </c>
      <c r="D218" s="33" t="s">
        <v>366</v>
      </c>
      <c r="E218" s="95">
        <v>330000018</v>
      </c>
      <c r="F218" s="36"/>
      <c r="G218" s="33" t="s">
        <v>366</v>
      </c>
      <c r="H218" s="7">
        <v>3360</v>
      </c>
    </row>
    <row r="219" spans="1:8" x14ac:dyDescent="0.3">
      <c r="A219" s="5" t="s">
        <v>371</v>
      </c>
      <c r="C219" s="32" t="s">
        <v>397</v>
      </c>
      <c r="D219" s="7" t="s">
        <v>423</v>
      </c>
      <c r="E219" s="95">
        <v>330000114</v>
      </c>
      <c r="F219" s="78">
        <v>1</v>
      </c>
      <c r="G219" s="7" t="s">
        <v>633</v>
      </c>
      <c r="H219" s="7">
        <v>120</v>
      </c>
    </row>
    <row r="220" spans="1:8" x14ac:dyDescent="0.3">
      <c r="A220" s="5" t="s">
        <v>372</v>
      </c>
      <c r="C220" s="32" t="s">
        <v>398</v>
      </c>
      <c r="D220" s="7" t="s">
        <v>424</v>
      </c>
      <c r="E220" s="95">
        <v>330000115</v>
      </c>
      <c r="F220" s="78">
        <v>1</v>
      </c>
      <c r="G220" s="7" t="s">
        <v>634</v>
      </c>
      <c r="H220" s="7">
        <v>120</v>
      </c>
    </row>
    <row r="221" spans="1:8" x14ac:dyDescent="0.3">
      <c r="A221" s="5" t="s">
        <v>373</v>
      </c>
      <c r="C221" s="32" t="s">
        <v>399</v>
      </c>
      <c r="D221" s="7" t="s">
        <v>425</v>
      </c>
      <c r="E221" s="95">
        <v>330000116</v>
      </c>
      <c r="F221" s="78">
        <v>1</v>
      </c>
      <c r="G221" s="7" t="s">
        <v>635</v>
      </c>
      <c r="H221" s="7">
        <v>120</v>
      </c>
    </row>
    <row r="222" spans="1:8" x14ac:dyDescent="0.3">
      <c r="A222" s="5" t="s">
        <v>374</v>
      </c>
      <c r="C222" s="32" t="s">
        <v>400</v>
      </c>
      <c r="D222" s="7" t="s">
        <v>426</v>
      </c>
      <c r="E222" s="95">
        <v>330000117</v>
      </c>
      <c r="F222" s="78">
        <v>1</v>
      </c>
      <c r="G222" s="7" t="s">
        <v>636</v>
      </c>
      <c r="H222" s="7">
        <v>120</v>
      </c>
    </row>
    <row r="223" spans="1:8" x14ac:dyDescent="0.3">
      <c r="A223" s="5" t="s">
        <v>375</v>
      </c>
      <c r="C223" s="32" t="s">
        <v>401</v>
      </c>
      <c r="D223" s="7" t="s">
        <v>427</v>
      </c>
      <c r="E223" s="95">
        <v>330000118</v>
      </c>
      <c r="F223" s="78">
        <v>1</v>
      </c>
      <c r="G223" s="7" t="s">
        <v>637</v>
      </c>
      <c r="H223" s="7">
        <v>120</v>
      </c>
    </row>
    <row r="224" spans="1:8" x14ac:dyDescent="0.3">
      <c r="A224" s="5" t="s">
        <v>376</v>
      </c>
      <c r="C224" s="32" t="s">
        <v>402</v>
      </c>
      <c r="D224" s="7" t="s">
        <v>428</v>
      </c>
      <c r="E224" s="95">
        <v>330000119</v>
      </c>
      <c r="F224" s="78">
        <v>1</v>
      </c>
      <c r="G224" s="7" t="s">
        <v>638</v>
      </c>
      <c r="H224" s="7">
        <v>120</v>
      </c>
    </row>
    <row r="225" spans="1:8" x14ac:dyDescent="0.3">
      <c r="A225" s="5" t="s">
        <v>377</v>
      </c>
      <c r="C225" s="32" t="s">
        <v>403</v>
      </c>
      <c r="D225" s="7" t="s">
        <v>429</v>
      </c>
      <c r="E225" s="95">
        <v>330000120</v>
      </c>
      <c r="F225" s="78">
        <v>1</v>
      </c>
      <c r="G225" s="7" t="s">
        <v>639</v>
      </c>
      <c r="H225" s="7">
        <v>120</v>
      </c>
    </row>
    <row r="226" spans="1:8" x14ac:dyDescent="0.3">
      <c r="A226" s="5" t="s">
        <v>378</v>
      </c>
      <c r="C226" s="32" t="s">
        <v>404</v>
      </c>
      <c r="D226" s="7" t="s">
        <v>430</v>
      </c>
      <c r="E226" s="95">
        <v>330000121</v>
      </c>
      <c r="F226" s="78">
        <v>1</v>
      </c>
      <c r="G226" s="7" t="s">
        <v>640</v>
      </c>
      <c r="H226" s="7">
        <v>120</v>
      </c>
    </row>
    <row r="227" spans="1:8" x14ac:dyDescent="0.3">
      <c r="A227" s="5" t="s">
        <v>379</v>
      </c>
      <c r="C227" s="32" t="s">
        <v>405</v>
      </c>
      <c r="D227" s="7" t="s">
        <v>431</v>
      </c>
      <c r="E227" s="95">
        <v>330000122</v>
      </c>
      <c r="F227" s="78">
        <v>1</v>
      </c>
      <c r="G227" s="7" t="s">
        <v>641</v>
      </c>
      <c r="H227" s="7">
        <v>120</v>
      </c>
    </row>
    <row r="228" spans="1:8" x14ac:dyDescent="0.3">
      <c r="A228" s="5" t="s">
        <v>380</v>
      </c>
      <c r="C228" s="32" t="s">
        <v>406</v>
      </c>
      <c r="D228" s="7" t="s">
        <v>435</v>
      </c>
      <c r="E228" s="95">
        <v>330000123</v>
      </c>
      <c r="F228" s="78">
        <v>1</v>
      </c>
      <c r="G228" s="7" t="s">
        <v>642</v>
      </c>
      <c r="H228" s="7">
        <v>120</v>
      </c>
    </row>
    <row r="229" spans="1:8" x14ac:dyDescent="0.3">
      <c r="A229" s="5" t="s">
        <v>381</v>
      </c>
      <c r="C229" s="32" t="s">
        <v>407</v>
      </c>
      <c r="D229" s="7" t="s">
        <v>434</v>
      </c>
      <c r="E229" s="95">
        <v>330000124</v>
      </c>
      <c r="F229" s="78">
        <v>1</v>
      </c>
      <c r="G229" s="7" t="s">
        <v>643</v>
      </c>
      <c r="H229" s="7">
        <v>120</v>
      </c>
    </row>
    <row r="230" spans="1:8" x14ac:dyDescent="0.3">
      <c r="A230" s="5" t="s">
        <v>382</v>
      </c>
      <c r="C230" s="32" t="s">
        <v>408</v>
      </c>
      <c r="D230" s="7" t="s">
        <v>436</v>
      </c>
      <c r="E230" s="95">
        <v>330000125</v>
      </c>
      <c r="F230" s="78">
        <v>1</v>
      </c>
      <c r="G230" s="7" t="s">
        <v>644</v>
      </c>
      <c r="H230" s="7">
        <v>120</v>
      </c>
    </row>
    <row r="231" spans="1:8" x14ac:dyDescent="0.3">
      <c r="A231" s="5" t="s">
        <v>383</v>
      </c>
      <c r="C231" s="32" t="s">
        <v>409</v>
      </c>
      <c r="D231" s="7" t="s">
        <v>432</v>
      </c>
      <c r="E231" s="95">
        <v>330000126</v>
      </c>
      <c r="F231" s="78">
        <v>1</v>
      </c>
      <c r="G231" s="7" t="s">
        <v>645</v>
      </c>
      <c r="H231" s="7">
        <v>120</v>
      </c>
    </row>
    <row r="232" spans="1:8" x14ac:dyDescent="0.3">
      <c r="A232" s="5" t="s">
        <v>384</v>
      </c>
      <c r="C232" s="32" t="s">
        <v>410</v>
      </c>
      <c r="D232" s="7" t="s">
        <v>433</v>
      </c>
      <c r="E232" s="95">
        <v>330000127</v>
      </c>
      <c r="F232" s="78">
        <v>1</v>
      </c>
      <c r="G232" s="7" t="s">
        <v>646</v>
      </c>
      <c r="H232" s="7">
        <v>120</v>
      </c>
    </row>
    <row r="233" spans="1:8" x14ac:dyDescent="0.3">
      <c r="A233" s="5" t="s">
        <v>385</v>
      </c>
      <c r="C233" s="32" t="s">
        <v>411</v>
      </c>
      <c r="D233" s="7" t="s">
        <v>437</v>
      </c>
      <c r="E233" s="95">
        <v>330000128</v>
      </c>
      <c r="F233" s="78">
        <v>1</v>
      </c>
      <c r="G233" s="7" t="s">
        <v>647</v>
      </c>
      <c r="H233" s="7">
        <v>120</v>
      </c>
    </row>
    <row r="234" spans="1:8" ht="21" x14ac:dyDescent="0.3">
      <c r="A234" s="29" t="s">
        <v>449</v>
      </c>
      <c r="B234" s="28"/>
      <c r="C234" s="28"/>
      <c r="D234" s="28"/>
      <c r="E234" s="97"/>
      <c r="F234" s="39"/>
      <c r="G234" s="28"/>
      <c r="H234" s="7"/>
    </row>
    <row r="235" spans="1:8" x14ac:dyDescent="0.3">
      <c r="A235" s="5" t="s">
        <v>386</v>
      </c>
      <c r="C235" s="32" t="s">
        <v>412</v>
      </c>
      <c r="D235" s="7" t="s">
        <v>438</v>
      </c>
      <c r="E235" s="95">
        <v>330000317</v>
      </c>
      <c r="F235" s="78">
        <v>3</v>
      </c>
      <c r="G235" s="7" t="s">
        <v>648</v>
      </c>
      <c r="H235" s="7">
        <v>40</v>
      </c>
    </row>
    <row r="236" spans="1:8" x14ac:dyDescent="0.3">
      <c r="A236" s="5" t="s">
        <v>387</v>
      </c>
      <c r="C236" s="32" t="s">
        <v>413</v>
      </c>
      <c r="D236" s="7" t="s">
        <v>439</v>
      </c>
      <c r="E236" s="95">
        <v>330000130</v>
      </c>
      <c r="F236" s="78">
        <v>3</v>
      </c>
      <c r="G236" s="7" t="s">
        <v>649</v>
      </c>
      <c r="H236" s="7">
        <v>40</v>
      </c>
    </row>
    <row r="237" spans="1:8" x14ac:dyDescent="0.3">
      <c r="A237" s="5" t="s">
        <v>388</v>
      </c>
      <c r="C237" s="32" t="s">
        <v>414</v>
      </c>
      <c r="D237" s="7" t="s">
        <v>440</v>
      </c>
      <c r="E237" s="95">
        <v>330000318</v>
      </c>
      <c r="F237" s="78">
        <v>3</v>
      </c>
      <c r="G237" s="7" t="s">
        <v>650</v>
      </c>
      <c r="H237" s="7">
        <v>40</v>
      </c>
    </row>
    <row r="238" spans="1:8" x14ac:dyDescent="0.3">
      <c r="A238" s="5" t="s">
        <v>389</v>
      </c>
      <c r="C238" s="32" t="s">
        <v>415</v>
      </c>
      <c r="D238" s="7" t="s">
        <v>441</v>
      </c>
      <c r="E238" s="95">
        <v>330000319</v>
      </c>
      <c r="F238" s="78">
        <v>3</v>
      </c>
      <c r="G238" s="7" t="s">
        <v>651</v>
      </c>
      <c r="H238" s="7">
        <v>40</v>
      </c>
    </row>
    <row r="239" spans="1:8" x14ac:dyDescent="0.3">
      <c r="A239" s="5" t="s">
        <v>392</v>
      </c>
      <c r="C239" s="32" t="s">
        <v>416</v>
      </c>
      <c r="D239" s="7" t="s">
        <v>442</v>
      </c>
      <c r="E239" s="95" t="s">
        <v>788</v>
      </c>
      <c r="F239" s="78">
        <v>3</v>
      </c>
      <c r="G239" s="7" t="s">
        <v>652</v>
      </c>
      <c r="H239" s="7">
        <v>40</v>
      </c>
    </row>
    <row r="240" spans="1:8" x14ac:dyDescent="0.3">
      <c r="A240" s="5" t="s">
        <v>390</v>
      </c>
      <c r="C240" s="32" t="s">
        <v>417</v>
      </c>
      <c r="D240" s="7" t="s">
        <v>443</v>
      </c>
      <c r="E240" s="95">
        <v>330000131</v>
      </c>
      <c r="F240" s="78">
        <v>3</v>
      </c>
      <c r="G240" s="7" t="s">
        <v>653</v>
      </c>
      <c r="H240" s="7">
        <v>40</v>
      </c>
    </row>
    <row r="241" spans="1:8" x14ac:dyDescent="0.3">
      <c r="A241" s="5" t="s">
        <v>391</v>
      </c>
      <c r="C241" s="32" t="s">
        <v>418</v>
      </c>
      <c r="D241" s="7" t="s">
        <v>444</v>
      </c>
      <c r="E241" s="95">
        <v>330000132</v>
      </c>
      <c r="F241" s="78">
        <v>3</v>
      </c>
      <c r="G241" s="7" t="s">
        <v>654</v>
      </c>
      <c r="H241" s="7">
        <v>40</v>
      </c>
    </row>
    <row r="242" spans="1:8" x14ac:dyDescent="0.3">
      <c r="A242" s="5" t="s">
        <v>393</v>
      </c>
      <c r="C242" s="32" t="s">
        <v>419</v>
      </c>
      <c r="D242" s="7" t="s">
        <v>445</v>
      </c>
      <c r="E242" s="95">
        <v>330000133</v>
      </c>
      <c r="F242" s="78">
        <v>3</v>
      </c>
      <c r="G242" s="7" t="s">
        <v>655</v>
      </c>
      <c r="H242" s="7">
        <v>40</v>
      </c>
    </row>
    <row r="243" spans="1:8" x14ac:dyDescent="0.3">
      <c r="A243" s="5" t="s">
        <v>394</v>
      </c>
      <c r="C243" s="32" t="s">
        <v>420</v>
      </c>
      <c r="D243" s="7" t="s">
        <v>446</v>
      </c>
      <c r="E243" s="95">
        <v>330000134</v>
      </c>
      <c r="F243" s="78">
        <v>3</v>
      </c>
      <c r="G243" s="7" t="s">
        <v>656</v>
      </c>
      <c r="H243" s="7">
        <v>40</v>
      </c>
    </row>
    <row r="244" spans="1:8" x14ac:dyDescent="0.3">
      <c r="A244" s="5" t="s">
        <v>395</v>
      </c>
      <c r="C244" s="32" t="s">
        <v>421</v>
      </c>
      <c r="D244" s="7" t="s">
        <v>447</v>
      </c>
      <c r="E244" s="95">
        <v>330000135</v>
      </c>
      <c r="F244" s="78">
        <v>3</v>
      </c>
      <c r="G244" s="7" t="s">
        <v>657</v>
      </c>
      <c r="H244" s="7">
        <v>40</v>
      </c>
    </row>
    <row r="245" spans="1:8" x14ac:dyDescent="0.3">
      <c r="A245" s="5" t="s">
        <v>396</v>
      </c>
      <c r="C245" s="32" t="s">
        <v>422</v>
      </c>
      <c r="D245" s="7" t="s">
        <v>448</v>
      </c>
      <c r="E245" s="95">
        <v>330000136</v>
      </c>
      <c r="F245" s="78">
        <v>3</v>
      </c>
      <c r="G245" s="7" t="s">
        <v>658</v>
      </c>
      <c r="H245" s="7">
        <v>40</v>
      </c>
    </row>
    <row r="246" spans="1:8" ht="21" x14ac:dyDescent="0.3">
      <c r="A246" s="29" t="s">
        <v>450</v>
      </c>
      <c r="B246" s="28"/>
      <c r="C246" s="28"/>
      <c r="D246" s="28"/>
      <c r="E246" s="28"/>
      <c r="F246" s="39"/>
      <c r="G246" s="28"/>
    </row>
    <row r="249" spans="1:8" x14ac:dyDescent="0.3">
      <c r="A249" s="33"/>
      <c r="B249" s="33"/>
      <c r="C249" s="33"/>
      <c r="D249" s="33"/>
      <c r="E249" s="96"/>
      <c r="F249" s="33"/>
      <c r="H249" s="33"/>
    </row>
    <row r="250" spans="1:8" x14ac:dyDescent="0.3">
      <c r="A250" s="33"/>
      <c r="B250" s="33"/>
      <c r="C250" s="33"/>
      <c r="D250" s="33"/>
      <c r="E250" s="96"/>
      <c r="F250" s="33"/>
      <c r="H250" s="33"/>
    </row>
    <row r="251" spans="1:8" x14ac:dyDescent="0.3">
      <c r="A251" s="33"/>
      <c r="B251" s="33"/>
      <c r="C251" s="33"/>
      <c r="D251" s="33"/>
      <c r="E251" s="96"/>
      <c r="F251" s="33"/>
      <c r="H251" s="33"/>
    </row>
    <row r="252" spans="1:8" x14ac:dyDescent="0.3">
      <c r="A252" s="33"/>
      <c r="B252" s="33"/>
      <c r="C252" s="33"/>
      <c r="D252" s="33"/>
      <c r="E252" s="96"/>
      <c r="F252" s="33"/>
      <c r="H252" s="33"/>
    </row>
    <row r="253" spans="1:8" x14ac:dyDescent="0.3">
      <c r="A253" s="33"/>
      <c r="B253" s="33"/>
      <c r="C253" s="33"/>
      <c r="D253" s="33"/>
      <c r="E253" s="96"/>
      <c r="F253" s="33"/>
      <c r="H253" s="33"/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H47" xr:uid="{00000000-0009-0000-0000-000000000000}"/>
  <dataConsolidate/>
  <mergeCells count="4">
    <mergeCell ref="J28:J29"/>
    <mergeCell ref="J38:J39"/>
    <mergeCell ref="J9:J11"/>
    <mergeCell ref="J16:J17"/>
  </mergeCells>
  <phoneticPr fontId="32" type="noConversion"/>
  <conditionalFormatting sqref="A159">
    <cfRule type="duplicateValues" dxfId="78" priority="4"/>
    <cfRule type="duplicateValues" dxfId="77" priority="5"/>
    <cfRule type="duplicateValues" dxfId="76" priority="6"/>
  </conditionalFormatting>
  <conditionalFormatting sqref="A192:A194">
    <cfRule type="duplicateValues" dxfId="75" priority="90"/>
    <cfRule type="duplicateValues" dxfId="74" priority="89"/>
    <cfRule type="duplicateValues" dxfId="73" priority="88"/>
  </conditionalFormatting>
  <conditionalFormatting sqref="A196:A200">
    <cfRule type="duplicateValues" dxfId="72" priority="72"/>
    <cfRule type="duplicateValues" dxfId="71" priority="71"/>
    <cfRule type="duplicateValues" dxfId="70" priority="70"/>
  </conditionalFormatting>
  <conditionalFormatting sqref="A201:A204">
    <cfRule type="duplicateValues" dxfId="69" priority="73"/>
    <cfRule type="duplicateValues" dxfId="68" priority="74"/>
    <cfRule type="duplicateValues" dxfId="67" priority="75"/>
  </conditionalFormatting>
  <conditionalFormatting sqref="A205">
    <cfRule type="duplicateValues" dxfId="66" priority="76"/>
    <cfRule type="duplicateValues" dxfId="65" priority="77"/>
    <cfRule type="duplicateValues" dxfId="64" priority="78"/>
  </conditionalFormatting>
  <conditionalFormatting sqref="A206:A207">
    <cfRule type="duplicateValues" dxfId="63" priority="158"/>
    <cfRule type="duplicateValues" dxfId="62" priority="157"/>
    <cfRule type="duplicateValues" dxfId="61" priority="159"/>
  </conditionalFormatting>
  <conditionalFormatting sqref="A210">
    <cfRule type="duplicateValues" dxfId="60" priority="63"/>
    <cfRule type="duplicateValues" dxfId="59" priority="62"/>
    <cfRule type="duplicateValues" dxfId="58" priority="61"/>
  </conditionalFormatting>
  <conditionalFormatting sqref="A211">
    <cfRule type="duplicateValues" dxfId="57" priority="66"/>
    <cfRule type="duplicateValues" dxfId="56" priority="65"/>
    <cfRule type="duplicateValues" dxfId="55" priority="64"/>
  </conditionalFormatting>
  <conditionalFormatting sqref="A212:A213">
    <cfRule type="duplicateValues" dxfId="54" priority="59"/>
    <cfRule type="duplicateValues" dxfId="53" priority="58"/>
    <cfRule type="duplicateValues" dxfId="52" priority="60"/>
  </conditionalFormatting>
  <conditionalFormatting sqref="A215:A216">
    <cfRule type="duplicateValues" dxfId="51" priority="247"/>
    <cfRule type="duplicateValues" dxfId="50" priority="249"/>
    <cfRule type="duplicateValues" dxfId="49" priority="248"/>
  </conditionalFormatting>
  <conditionalFormatting sqref="A219">
    <cfRule type="duplicateValues" dxfId="48" priority="26"/>
    <cfRule type="duplicateValues" dxfId="47" priority="27"/>
    <cfRule type="duplicateValues" dxfId="46" priority="25"/>
  </conditionalFormatting>
  <conditionalFormatting sqref="A220:A233 A235:A245">
    <cfRule type="duplicateValues" dxfId="45" priority="22"/>
    <cfRule type="duplicateValues" dxfId="44" priority="24"/>
    <cfRule type="duplicateValues" dxfId="43" priority="23"/>
  </conditionalFormatting>
  <conditionalFormatting sqref="A247:A249 A129:A137 A1:A19 A40:A61 A63:A80 A82:A99 A141 A158 A181:A187 A21:A38 A143 A152:A156 A160 A162:A163 A167:A175 A190:A191 A251:A1048576 A101:A118">
    <cfRule type="duplicateValues" dxfId="42" priority="106"/>
    <cfRule type="duplicateValues" dxfId="41" priority="107"/>
    <cfRule type="duplicateValues" dxfId="40" priority="108"/>
  </conditionalFormatting>
  <conditionalFormatting sqref="A218:B218">
    <cfRule type="duplicateValues" dxfId="39" priority="34"/>
    <cfRule type="duplicateValues" dxfId="38" priority="35"/>
    <cfRule type="duplicateValues" dxfId="37" priority="36"/>
  </conditionalFormatting>
  <conditionalFormatting sqref="B12">
    <cfRule type="duplicateValues" dxfId="36" priority="9"/>
    <cfRule type="duplicateValues" dxfId="35" priority="7"/>
    <cfRule type="duplicateValues" dxfId="34" priority="8"/>
  </conditionalFormatting>
  <conditionalFormatting sqref="C218">
    <cfRule type="duplicateValues" dxfId="33" priority="30"/>
    <cfRule type="duplicateValues" dxfId="32" priority="29"/>
    <cfRule type="duplicateValues" dxfId="31" priority="28"/>
  </conditionalFormatting>
  <conditionalFormatting sqref="E1:E1048576">
    <cfRule type="cellIs" dxfId="30" priority="1" operator="equal">
      <formula>"-"</formula>
    </cfRule>
  </conditionalFormatting>
  <conditionalFormatting sqref="G209:G213 G2:G19 G40:G61 G63:G80 G82:G99 G120:G137 G139:G156 G158:G175 G177:G194 G196:G207 G21:G38 G101:G118">
    <cfRule type="duplicateValues" dxfId="29" priority="55"/>
    <cfRule type="duplicateValues" dxfId="28" priority="56"/>
    <cfRule type="duplicateValues" dxfId="27" priority="57"/>
  </conditionalFormatting>
  <conditionalFormatting sqref="G219:G233 G235:G245">
    <cfRule type="duplicateValues" dxfId="26" priority="19"/>
    <cfRule type="duplicateValues" dxfId="25" priority="21"/>
    <cfRule type="duplicateValues" dxfId="24" priority="20"/>
  </conditionalFormatting>
  <conditionalFormatting sqref="H2:H214">
    <cfRule type="duplicateValues" dxfId="23" priority="193"/>
    <cfRule type="duplicateValues" dxfId="22" priority="194"/>
    <cfRule type="duplicateValues" dxfId="21" priority="195"/>
  </conditionalFormatting>
  <conditionalFormatting sqref="H215">
    <cfRule type="duplicateValues" dxfId="20" priority="252"/>
    <cfRule type="duplicateValues" dxfId="19" priority="250"/>
    <cfRule type="duplicateValues" dxfId="18" priority="251"/>
  </conditionalFormatting>
  <conditionalFormatting sqref="H216">
    <cfRule type="duplicateValues" dxfId="17" priority="39"/>
    <cfRule type="duplicateValues" dxfId="16" priority="38"/>
    <cfRule type="duplicateValues" dxfId="15" priority="37"/>
  </conditionalFormatting>
  <conditionalFormatting sqref="H217">
    <cfRule type="duplicateValues" dxfId="14" priority="47"/>
    <cfRule type="duplicateValues" dxfId="13" priority="46"/>
    <cfRule type="duplicateValues" dxfId="12" priority="48"/>
  </conditionalFormatting>
  <conditionalFormatting sqref="H218">
    <cfRule type="duplicateValues" dxfId="11" priority="32"/>
    <cfRule type="duplicateValues" dxfId="10" priority="33"/>
    <cfRule type="duplicateValues" dxfId="9" priority="31"/>
  </conditionalFormatting>
  <conditionalFormatting sqref="H219:H234">
    <cfRule type="duplicateValues" dxfId="8" priority="16"/>
    <cfRule type="duplicateValues" dxfId="7" priority="18"/>
    <cfRule type="duplicateValues" dxfId="6" priority="17"/>
  </conditionalFormatting>
  <conditionalFormatting sqref="H235:H245">
    <cfRule type="duplicateValues" dxfId="5" priority="15"/>
    <cfRule type="duplicateValues" dxfId="4" priority="14"/>
    <cfRule type="duplicateValues" dxfId="3" priority="13"/>
  </conditionalFormatting>
  <conditionalFormatting sqref="P9:P11">
    <cfRule type="duplicateValues" dxfId="2" priority="3"/>
    <cfRule type="duplicateValues" dxfId="1" priority="2"/>
  </conditionalFormatting>
  <pageMargins left="0.7" right="0.7" top="0.75" bottom="0.75" header="0.3" footer="0.3"/>
  <pageSetup fitToHeight="0" orientation="portrait" r:id="rId1"/>
  <ignoredErrors>
    <ignoredError sqref="C235:C245 A235:A245 A219:A233 C219:C233 J42:J44 N26:N27 B66:B67 B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rightToLeft="1" tabSelected="1" view="pageBreakPreview" topLeftCell="A7" zoomScaleNormal="100" zoomScaleSheetLayoutView="100" workbookViewId="0">
      <selection activeCell="C27" sqref="C8:F27"/>
    </sheetView>
  </sheetViews>
  <sheetFormatPr defaultRowHeight="14.4" x14ac:dyDescent="0.3"/>
  <cols>
    <col min="1" max="1" width="1" customWidth="1"/>
    <col min="2" max="2" width="4.6640625" customWidth="1"/>
    <col min="3" max="3" width="11.44140625" customWidth="1"/>
    <col min="4" max="4" width="12.33203125" customWidth="1"/>
    <col min="5" max="5" width="16.109375" customWidth="1"/>
    <col min="7" max="7" width="5.109375" customWidth="1"/>
    <col min="8" max="8" width="10.109375" customWidth="1"/>
    <col min="9" max="9" width="2.5546875" customWidth="1"/>
    <col min="10" max="10" width="11.33203125" customWidth="1"/>
    <col min="11" max="11" width="5.44140625" customWidth="1"/>
    <col min="13" max="13" width="15.44140625" customWidth="1"/>
    <col min="14" max="14" width="1" customWidth="1"/>
  </cols>
  <sheetData>
    <row r="1" spans="1:14" ht="6" customHeight="1" thickBot="1" x14ac:dyDescent="0.35">
      <c r="A1" s="135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4" ht="27" customHeight="1" thickTop="1" thickBot="1" x14ac:dyDescent="0.35">
      <c r="A2" s="135"/>
      <c r="B2" s="225" t="s">
        <v>292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7"/>
      <c r="N2" s="136"/>
    </row>
    <row r="3" spans="1:14" ht="19.5" customHeight="1" thickTop="1" x14ac:dyDescent="0.6">
      <c r="A3" s="135"/>
      <c r="B3" s="81" t="s">
        <v>316</v>
      </c>
      <c r="C3" s="223" t="s">
        <v>800</v>
      </c>
      <c r="D3" s="224"/>
      <c r="E3" s="80" t="s">
        <v>361</v>
      </c>
      <c r="F3" s="146"/>
      <c r="G3" s="147"/>
      <c r="H3" s="65"/>
      <c r="I3" s="138" t="s">
        <v>454</v>
      </c>
      <c r="J3" s="139"/>
      <c r="K3" s="140" t="s">
        <v>801</v>
      </c>
      <c r="L3" s="140"/>
      <c r="M3" s="141"/>
      <c r="N3" s="136"/>
    </row>
    <row r="4" spans="1:14" ht="16.5" customHeight="1" x14ac:dyDescent="0.3">
      <c r="A4" s="135"/>
      <c r="B4" s="127" t="s">
        <v>456</v>
      </c>
      <c r="C4" s="128"/>
      <c r="D4" s="220" t="s">
        <v>802</v>
      </c>
      <c r="E4" s="220"/>
      <c r="F4" s="220"/>
      <c r="G4" s="220"/>
      <c r="H4" s="220"/>
      <c r="I4" s="220"/>
      <c r="J4" s="220"/>
      <c r="K4" s="220"/>
      <c r="L4" s="79" t="s">
        <v>453</v>
      </c>
      <c r="M4" s="126" t="s">
        <v>803</v>
      </c>
      <c r="N4" s="136"/>
    </row>
    <row r="5" spans="1:14" ht="16.5" customHeight="1" x14ac:dyDescent="0.3">
      <c r="A5" s="135"/>
      <c r="B5" s="168" t="s">
        <v>365</v>
      </c>
      <c r="C5" s="220"/>
      <c r="D5" s="221" t="s">
        <v>804</v>
      </c>
      <c r="E5" s="221" t="s">
        <v>804</v>
      </c>
      <c r="F5" s="221"/>
      <c r="G5" s="221"/>
      <c r="H5" s="222"/>
      <c r="I5" s="235" t="s">
        <v>455</v>
      </c>
      <c r="J5" s="164"/>
      <c r="K5" s="164" t="s">
        <v>805</v>
      </c>
      <c r="L5" s="164"/>
      <c r="M5" s="165"/>
      <c r="N5" s="136"/>
    </row>
    <row r="6" spans="1:14" ht="21" customHeight="1" thickBot="1" x14ac:dyDescent="0.35">
      <c r="A6" s="135"/>
      <c r="B6" s="232" t="s">
        <v>293</v>
      </c>
      <c r="C6" s="233"/>
      <c r="D6" s="66" t="s">
        <v>294</v>
      </c>
      <c r="E6" s="63" t="s">
        <v>295</v>
      </c>
      <c r="F6" s="64"/>
      <c r="G6" s="160" t="s">
        <v>296</v>
      </c>
      <c r="H6" s="234"/>
      <c r="I6" s="161"/>
      <c r="J6" s="160" t="s">
        <v>297</v>
      </c>
      <c r="K6" s="161"/>
      <c r="L6" s="160" t="s">
        <v>298</v>
      </c>
      <c r="M6" s="228"/>
      <c r="N6" s="136"/>
    </row>
    <row r="7" spans="1:14" ht="23.25" customHeight="1" thickTop="1" x14ac:dyDescent="0.3">
      <c r="A7" s="135"/>
      <c r="B7" s="57" t="s">
        <v>174</v>
      </c>
      <c r="C7" s="58" t="s">
        <v>806</v>
      </c>
      <c r="D7" s="59" t="s">
        <v>175</v>
      </c>
      <c r="E7" s="69" t="s">
        <v>807</v>
      </c>
      <c r="F7" s="58" t="s">
        <v>808</v>
      </c>
      <c r="G7" s="148" t="s">
        <v>299</v>
      </c>
      <c r="H7" s="149"/>
      <c r="I7" s="150"/>
      <c r="J7" s="148" t="s">
        <v>300</v>
      </c>
      <c r="K7" s="150"/>
      <c r="L7" s="148" t="s">
        <v>176</v>
      </c>
      <c r="M7" s="170"/>
      <c r="N7" s="136"/>
    </row>
    <row r="8" spans="1:14" ht="18" customHeight="1" x14ac:dyDescent="0.3">
      <c r="A8" s="135"/>
      <c r="B8" s="123">
        <v>1</v>
      </c>
      <c r="C8" s="124"/>
      <c r="D8" s="124"/>
      <c r="E8" s="125"/>
      <c r="F8" s="125"/>
      <c r="G8" s="151"/>
      <c r="H8" s="152"/>
      <c r="I8" s="153"/>
      <c r="J8" s="132"/>
      <c r="K8" s="145"/>
      <c r="L8" s="132"/>
      <c r="M8" s="133"/>
      <c r="N8" s="136"/>
    </row>
    <row r="9" spans="1:14" ht="18" customHeight="1" x14ac:dyDescent="0.3">
      <c r="A9" s="135"/>
      <c r="B9" s="123">
        <v>2</v>
      </c>
      <c r="C9" s="124"/>
      <c r="D9" s="124"/>
      <c r="E9" s="125"/>
      <c r="F9" s="125"/>
      <c r="G9" s="154"/>
      <c r="H9" s="155"/>
      <c r="I9" s="156"/>
      <c r="J9" s="132"/>
      <c r="K9" s="145"/>
      <c r="L9" s="132"/>
      <c r="M9" s="133"/>
      <c r="N9" s="136"/>
    </row>
    <row r="10" spans="1:14" ht="18" customHeight="1" x14ac:dyDescent="0.3">
      <c r="A10" s="135"/>
      <c r="B10" s="123">
        <v>3</v>
      </c>
      <c r="C10" s="124"/>
      <c r="D10" s="124"/>
      <c r="E10" s="125"/>
      <c r="F10" s="125"/>
      <c r="G10" s="154"/>
      <c r="H10" s="155"/>
      <c r="I10" s="156"/>
      <c r="J10" s="132"/>
      <c r="K10" s="145"/>
      <c r="L10" s="132"/>
      <c r="M10" s="133"/>
      <c r="N10" s="136"/>
    </row>
    <row r="11" spans="1:14" ht="17.399999999999999" x14ac:dyDescent="0.3">
      <c r="A11" s="135"/>
      <c r="B11" s="123">
        <v>4</v>
      </c>
      <c r="C11" s="124"/>
      <c r="D11" s="124"/>
      <c r="E11" s="125"/>
      <c r="F11" s="125"/>
      <c r="G11" s="154"/>
      <c r="H11" s="155"/>
      <c r="I11" s="156"/>
      <c r="J11" s="132"/>
      <c r="K11" s="145"/>
      <c r="L11" s="132"/>
      <c r="M11" s="133"/>
      <c r="N11" s="136"/>
    </row>
    <row r="12" spans="1:14" ht="17.399999999999999" x14ac:dyDescent="0.3">
      <c r="A12" s="135"/>
      <c r="B12" s="123">
        <v>5</v>
      </c>
      <c r="C12" s="124"/>
      <c r="D12" s="124"/>
      <c r="E12" s="125"/>
      <c r="F12" s="125"/>
      <c r="G12" s="154"/>
      <c r="H12" s="155"/>
      <c r="I12" s="156"/>
      <c r="J12" s="132"/>
      <c r="K12" s="145"/>
      <c r="L12" s="132"/>
      <c r="M12" s="133"/>
      <c r="N12" s="136"/>
    </row>
    <row r="13" spans="1:14" ht="17.399999999999999" x14ac:dyDescent="0.3">
      <c r="A13" s="135"/>
      <c r="B13" s="123">
        <v>6</v>
      </c>
      <c r="C13" s="124"/>
      <c r="D13" s="124"/>
      <c r="E13" s="125"/>
      <c r="F13" s="125"/>
      <c r="G13" s="154"/>
      <c r="H13" s="155"/>
      <c r="I13" s="156"/>
      <c r="J13" s="132"/>
      <c r="K13" s="145"/>
      <c r="L13" s="132"/>
      <c r="M13" s="133"/>
      <c r="N13" s="136"/>
    </row>
    <row r="14" spans="1:14" ht="17.399999999999999" x14ac:dyDescent="0.3">
      <c r="A14" s="135"/>
      <c r="B14" s="123">
        <v>7</v>
      </c>
      <c r="C14" s="124"/>
      <c r="D14" s="124"/>
      <c r="E14" s="125"/>
      <c r="F14" s="125"/>
      <c r="G14" s="154"/>
      <c r="H14" s="155"/>
      <c r="I14" s="156"/>
      <c r="J14" s="132"/>
      <c r="K14" s="145"/>
      <c r="L14" s="132"/>
      <c r="M14" s="133"/>
      <c r="N14" s="136"/>
    </row>
    <row r="15" spans="1:14" ht="17.399999999999999" x14ac:dyDescent="0.3">
      <c r="A15" s="135"/>
      <c r="B15" s="123">
        <v>8</v>
      </c>
      <c r="C15" s="124"/>
      <c r="D15" s="124"/>
      <c r="E15" s="125"/>
      <c r="F15" s="125"/>
      <c r="G15" s="154"/>
      <c r="H15" s="155"/>
      <c r="I15" s="156"/>
      <c r="J15" s="132"/>
      <c r="K15" s="145"/>
      <c r="L15" s="132"/>
      <c r="M15" s="133"/>
      <c r="N15" s="136"/>
    </row>
    <row r="16" spans="1:14" ht="17.399999999999999" x14ac:dyDescent="0.3">
      <c r="A16" s="135"/>
      <c r="B16" s="123">
        <v>9</v>
      </c>
      <c r="C16" s="124"/>
      <c r="D16" s="124"/>
      <c r="E16" s="125"/>
      <c r="F16" s="125"/>
      <c r="G16" s="154"/>
      <c r="H16" s="155"/>
      <c r="I16" s="156"/>
      <c r="J16" s="132"/>
      <c r="K16" s="145"/>
      <c r="L16" s="132"/>
      <c r="M16" s="133"/>
      <c r="N16" s="136"/>
    </row>
    <row r="17" spans="1:14" ht="17.399999999999999" x14ac:dyDescent="0.3">
      <c r="A17" s="135"/>
      <c r="B17" s="123">
        <v>10</v>
      </c>
      <c r="C17" s="124"/>
      <c r="D17" s="124"/>
      <c r="E17" s="125"/>
      <c r="F17" s="125"/>
      <c r="G17" s="154"/>
      <c r="H17" s="155"/>
      <c r="I17" s="156"/>
      <c r="J17" s="132"/>
      <c r="K17" s="145"/>
      <c r="L17" s="132"/>
      <c r="M17" s="133"/>
      <c r="N17" s="136"/>
    </row>
    <row r="18" spans="1:14" ht="17.399999999999999" x14ac:dyDescent="0.3">
      <c r="A18" s="135"/>
      <c r="B18" s="123">
        <v>11</v>
      </c>
      <c r="C18" s="124"/>
      <c r="D18" s="124"/>
      <c r="E18" s="125"/>
      <c r="F18" s="125"/>
      <c r="G18" s="154"/>
      <c r="H18" s="155"/>
      <c r="I18" s="156"/>
      <c r="J18" s="132"/>
      <c r="K18" s="145"/>
      <c r="L18" s="132"/>
      <c r="M18" s="133"/>
      <c r="N18" s="136"/>
    </row>
    <row r="19" spans="1:14" ht="17.399999999999999" x14ac:dyDescent="0.3">
      <c r="A19" s="135"/>
      <c r="B19" s="123">
        <v>12</v>
      </c>
      <c r="C19" s="124"/>
      <c r="D19" s="124"/>
      <c r="E19" s="125"/>
      <c r="F19" s="125"/>
      <c r="G19" s="154"/>
      <c r="H19" s="155"/>
      <c r="I19" s="156"/>
      <c r="J19" s="132"/>
      <c r="K19" s="145"/>
      <c r="L19" s="132"/>
      <c r="M19" s="133"/>
      <c r="N19" s="136"/>
    </row>
    <row r="20" spans="1:14" ht="17.399999999999999" x14ac:dyDescent="0.3">
      <c r="A20" s="135"/>
      <c r="B20" s="123">
        <v>13</v>
      </c>
      <c r="C20" s="124"/>
      <c r="D20" s="124"/>
      <c r="E20" s="125"/>
      <c r="F20" s="125"/>
      <c r="G20" s="154"/>
      <c r="H20" s="155"/>
      <c r="I20" s="156"/>
      <c r="J20" s="132"/>
      <c r="K20" s="145"/>
      <c r="L20" s="132"/>
      <c r="M20" s="133"/>
      <c r="N20" s="136"/>
    </row>
    <row r="21" spans="1:14" ht="17.399999999999999" x14ac:dyDescent="0.3">
      <c r="A21" s="135"/>
      <c r="B21" s="123">
        <v>14</v>
      </c>
      <c r="C21" s="124"/>
      <c r="D21" s="124"/>
      <c r="E21" s="125"/>
      <c r="F21" s="125"/>
      <c r="G21" s="154"/>
      <c r="H21" s="155"/>
      <c r="I21" s="156"/>
      <c r="J21" s="132"/>
      <c r="K21" s="145"/>
      <c r="L21" s="132"/>
      <c r="M21" s="133"/>
      <c r="N21" s="136"/>
    </row>
    <row r="22" spans="1:14" ht="17.399999999999999" x14ac:dyDescent="0.3">
      <c r="A22" s="135"/>
      <c r="B22" s="123">
        <v>15</v>
      </c>
      <c r="C22" s="124"/>
      <c r="D22" s="124"/>
      <c r="E22" s="125"/>
      <c r="F22" s="125"/>
      <c r="G22" s="154"/>
      <c r="H22" s="155"/>
      <c r="I22" s="156"/>
      <c r="J22" s="132"/>
      <c r="K22" s="145"/>
      <c r="L22" s="132"/>
      <c r="M22" s="133"/>
      <c r="N22" s="136"/>
    </row>
    <row r="23" spans="1:14" ht="17.399999999999999" x14ac:dyDescent="0.3">
      <c r="A23" s="135"/>
      <c r="B23" s="123">
        <v>16</v>
      </c>
      <c r="C23" s="124"/>
      <c r="D23" s="124"/>
      <c r="E23" s="125"/>
      <c r="F23" s="125"/>
      <c r="G23" s="154"/>
      <c r="H23" s="155"/>
      <c r="I23" s="156"/>
      <c r="J23" s="132"/>
      <c r="K23" s="145"/>
      <c r="L23" s="132"/>
      <c r="M23" s="133"/>
      <c r="N23" s="136"/>
    </row>
    <row r="24" spans="1:14" ht="17.399999999999999" x14ac:dyDescent="0.3">
      <c r="A24" s="135"/>
      <c r="B24" s="123">
        <v>17</v>
      </c>
      <c r="C24" s="124"/>
      <c r="D24" s="124"/>
      <c r="E24" s="125"/>
      <c r="F24" s="125"/>
      <c r="G24" s="154"/>
      <c r="H24" s="155"/>
      <c r="I24" s="156"/>
      <c r="J24" s="132"/>
      <c r="K24" s="145"/>
      <c r="L24" s="132"/>
      <c r="M24" s="133"/>
      <c r="N24" s="136"/>
    </row>
    <row r="25" spans="1:14" ht="17.399999999999999" x14ac:dyDescent="0.3">
      <c r="A25" s="135"/>
      <c r="B25" s="123">
        <v>18</v>
      </c>
      <c r="C25" s="124"/>
      <c r="D25" s="124"/>
      <c r="E25" s="125"/>
      <c r="F25" s="125"/>
      <c r="G25" s="154"/>
      <c r="H25" s="155"/>
      <c r="I25" s="156"/>
      <c r="J25" s="132"/>
      <c r="K25" s="145"/>
      <c r="L25" s="132"/>
      <c r="M25" s="133"/>
      <c r="N25" s="136"/>
    </row>
    <row r="26" spans="1:14" ht="17.399999999999999" x14ac:dyDescent="0.3">
      <c r="A26" s="135"/>
      <c r="B26" s="123">
        <v>19</v>
      </c>
      <c r="C26" s="124"/>
      <c r="D26" s="124"/>
      <c r="E26" s="125"/>
      <c r="F26" s="125"/>
      <c r="G26" s="154"/>
      <c r="H26" s="155"/>
      <c r="I26" s="156"/>
      <c r="J26" s="132"/>
      <c r="K26" s="145"/>
      <c r="L26" s="132"/>
      <c r="M26" s="133"/>
      <c r="N26" s="136"/>
    </row>
    <row r="27" spans="1:14" ht="17.399999999999999" x14ac:dyDescent="0.3">
      <c r="A27" s="135"/>
      <c r="B27" s="123">
        <v>20</v>
      </c>
      <c r="C27" s="124"/>
      <c r="D27" s="124"/>
      <c r="E27" s="125"/>
      <c r="F27" s="125"/>
      <c r="G27" s="154"/>
      <c r="H27" s="155"/>
      <c r="I27" s="156"/>
      <c r="J27" s="132"/>
      <c r="K27" s="145"/>
      <c r="L27" s="132"/>
      <c r="M27" s="133"/>
      <c r="N27" s="136"/>
    </row>
    <row r="28" spans="1:14" ht="17.399999999999999" x14ac:dyDescent="0.3">
      <c r="A28" s="135"/>
      <c r="B28" s="123">
        <v>21</v>
      </c>
      <c r="C28" s="124"/>
      <c r="D28" s="124"/>
      <c r="E28" s="125"/>
      <c r="F28" s="125"/>
      <c r="G28" s="154"/>
      <c r="H28" s="155"/>
      <c r="I28" s="156"/>
      <c r="J28" s="132"/>
      <c r="K28" s="145"/>
      <c r="L28" s="132"/>
      <c r="M28" s="133"/>
      <c r="N28" s="136"/>
    </row>
    <row r="29" spans="1:14" ht="17.399999999999999" x14ac:dyDescent="0.3">
      <c r="A29" s="135"/>
      <c r="B29" s="123">
        <v>22</v>
      </c>
      <c r="C29" s="124"/>
      <c r="D29" s="124"/>
      <c r="E29" s="125"/>
      <c r="F29" s="125"/>
      <c r="G29" s="154"/>
      <c r="H29" s="155"/>
      <c r="I29" s="156"/>
      <c r="J29" s="132"/>
      <c r="K29" s="145"/>
      <c r="L29" s="132"/>
      <c r="M29" s="133"/>
      <c r="N29" s="136"/>
    </row>
    <row r="30" spans="1:14" ht="17.399999999999999" x14ac:dyDescent="0.3">
      <c r="A30" s="135"/>
      <c r="B30" s="123">
        <v>23</v>
      </c>
      <c r="C30" s="124"/>
      <c r="D30" s="124"/>
      <c r="E30" s="125"/>
      <c r="F30" s="125"/>
      <c r="G30" s="154"/>
      <c r="H30" s="155"/>
      <c r="I30" s="156"/>
      <c r="J30" s="132"/>
      <c r="K30" s="145"/>
      <c r="L30" s="132"/>
      <c r="M30" s="133"/>
      <c r="N30" s="136"/>
    </row>
    <row r="31" spans="1:14" ht="17.399999999999999" x14ac:dyDescent="0.3">
      <c r="A31" s="135"/>
      <c r="B31" s="123">
        <v>24</v>
      </c>
      <c r="C31" s="124"/>
      <c r="D31" s="124"/>
      <c r="E31" s="125"/>
      <c r="F31" s="125"/>
      <c r="G31" s="154"/>
      <c r="H31" s="155"/>
      <c r="I31" s="156"/>
      <c r="J31" s="132"/>
      <c r="K31" s="145"/>
      <c r="L31" s="132"/>
      <c r="M31" s="133"/>
      <c r="N31" s="136"/>
    </row>
    <row r="32" spans="1:14" ht="17.399999999999999" x14ac:dyDescent="0.3">
      <c r="A32" s="135"/>
      <c r="B32" s="123">
        <v>25</v>
      </c>
      <c r="C32" s="124"/>
      <c r="D32" s="124"/>
      <c r="E32" s="125"/>
      <c r="F32" s="125"/>
      <c r="G32" s="154"/>
      <c r="H32" s="155"/>
      <c r="I32" s="156"/>
      <c r="J32" s="132"/>
      <c r="K32" s="145"/>
      <c r="L32" s="132"/>
      <c r="M32" s="133"/>
      <c r="N32" s="136"/>
    </row>
    <row r="33" spans="1:14" ht="17.399999999999999" x14ac:dyDescent="0.3">
      <c r="A33" s="135"/>
      <c r="B33" s="123">
        <v>26</v>
      </c>
      <c r="C33" s="124"/>
      <c r="D33" s="124"/>
      <c r="E33" s="125"/>
      <c r="F33" s="125"/>
      <c r="G33" s="154"/>
      <c r="H33" s="155"/>
      <c r="I33" s="156"/>
      <c r="J33" s="132"/>
      <c r="K33" s="145"/>
      <c r="L33" s="132"/>
      <c r="M33" s="133"/>
      <c r="N33" s="136"/>
    </row>
    <row r="34" spans="1:14" ht="17.399999999999999" x14ac:dyDescent="0.3">
      <c r="A34" s="135"/>
      <c r="B34" s="123">
        <v>27</v>
      </c>
      <c r="C34" s="124"/>
      <c r="D34" s="124"/>
      <c r="E34" s="125"/>
      <c r="F34" s="125"/>
      <c r="G34" s="154"/>
      <c r="H34" s="155"/>
      <c r="I34" s="156"/>
      <c r="J34" s="132"/>
      <c r="K34" s="145"/>
      <c r="L34" s="132"/>
      <c r="M34" s="133"/>
      <c r="N34" s="136"/>
    </row>
    <row r="35" spans="1:14" ht="17.399999999999999" x14ac:dyDescent="0.3">
      <c r="A35" s="135"/>
      <c r="B35" s="123">
        <v>28</v>
      </c>
      <c r="C35" s="124"/>
      <c r="D35" s="124"/>
      <c r="E35" s="125"/>
      <c r="F35" s="125"/>
      <c r="G35" s="154"/>
      <c r="H35" s="155"/>
      <c r="I35" s="156"/>
      <c r="J35" s="132"/>
      <c r="K35" s="145"/>
      <c r="L35" s="132"/>
      <c r="M35" s="133"/>
      <c r="N35" s="136"/>
    </row>
    <row r="36" spans="1:14" ht="17.399999999999999" x14ac:dyDescent="0.3">
      <c r="A36" s="135"/>
      <c r="B36" s="123">
        <v>29</v>
      </c>
      <c r="C36" s="124"/>
      <c r="D36" s="124">
        <f>IFERROR(INDEX(base!C:C,MATCH('SEFARESH TOLID'!E36,base!D:D,)),0)</f>
        <v>0</v>
      </c>
      <c r="E36" s="125"/>
      <c r="F36" s="125"/>
      <c r="G36" s="154"/>
      <c r="H36" s="155"/>
      <c r="I36" s="156"/>
      <c r="J36" s="132"/>
      <c r="K36" s="145"/>
      <c r="L36" s="132"/>
      <c r="M36" s="133"/>
      <c r="N36" s="136"/>
    </row>
    <row r="37" spans="1:14" ht="17.399999999999999" x14ac:dyDescent="0.3">
      <c r="A37" s="135"/>
      <c r="B37" s="123">
        <v>30</v>
      </c>
      <c r="C37" s="124"/>
      <c r="D37" s="124">
        <f>IFERROR(INDEX(base!C:C,MATCH('SEFARESH TOLID'!E37,base!D:D,)),0)</f>
        <v>0</v>
      </c>
      <c r="E37" s="125"/>
      <c r="F37" s="125"/>
      <c r="G37" s="154"/>
      <c r="H37" s="155"/>
      <c r="I37" s="156"/>
      <c r="J37" s="132"/>
      <c r="K37" s="145"/>
      <c r="L37" s="132"/>
      <c r="M37" s="133"/>
      <c r="N37" s="136"/>
    </row>
    <row r="38" spans="1:14" ht="17.399999999999999" x14ac:dyDescent="0.3">
      <c r="A38" s="135"/>
      <c r="B38" s="123">
        <v>31</v>
      </c>
      <c r="C38" s="124"/>
      <c r="D38" s="124">
        <f>IFERROR(INDEX(base!C:C,MATCH('SEFARESH TOLID'!E38,base!D:D,)),0)</f>
        <v>0</v>
      </c>
      <c r="E38" s="125"/>
      <c r="F38" s="125"/>
      <c r="G38" s="154"/>
      <c r="H38" s="155"/>
      <c r="I38" s="156"/>
      <c r="J38" s="132"/>
      <c r="K38" s="145"/>
      <c r="L38" s="132"/>
      <c r="M38" s="133"/>
      <c r="N38" s="136"/>
    </row>
    <row r="39" spans="1:14" ht="17.399999999999999" x14ac:dyDescent="0.3">
      <c r="A39" s="135"/>
      <c r="B39" s="123">
        <v>32</v>
      </c>
      <c r="C39" s="124"/>
      <c r="D39" s="124">
        <f>IFERROR(INDEX(base!C:C,MATCH('SEFARESH TOLID'!E39,base!D:D,)),0)</f>
        <v>0</v>
      </c>
      <c r="E39" s="125"/>
      <c r="F39" s="125"/>
      <c r="G39" s="154"/>
      <c r="H39" s="155"/>
      <c r="I39" s="156"/>
      <c r="J39" s="132"/>
      <c r="K39" s="145"/>
      <c r="L39" s="132"/>
      <c r="M39" s="133"/>
      <c r="N39" s="136"/>
    </row>
    <row r="40" spans="1:14" ht="17.399999999999999" x14ac:dyDescent="0.3">
      <c r="A40" s="135"/>
      <c r="B40" s="123">
        <v>33</v>
      </c>
      <c r="C40" s="124"/>
      <c r="D40" s="124">
        <f>IFERROR(INDEX(base!C:C,MATCH('SEFARESH TOLID'!E40,base!D:D,)),0)</f>
        <v>0</v>
      </c>
      <c r="E40" s="125"/>
      <c r="F40" s="125"/>
      <c r="G40" s="154"/>
      <c r="H40" s="155"/>
      <c r="I40" s="156"/>
      <c r="J40" s="132"/>
      <c r="K40" s="145"/>
      <c r="L40" s="132"/>
      <c r="M40" s="133"/>
      <c r="N40" s="136"/>
    </row>
    <row r="41" spans="1:14" ht="17.399999999999999" x14ac:dyDescent="0.3">
      <c r="A41" s="135"/>
      <c r="B41" s="123">
        <v>34</v>
      </c>
      <c r="C41" s="124" cm="1">
        <f t="array" ref="C41">IFERROR(INDEX(base!E:E,+MATCH('SEFARESH TOLID'!E41,base!D:D,0)),0)</f>
        <v>0</v>
      </c>
      <c r="D41" s="124">
        <f>IFERROR(INDEX(base!C:C,MATCH('SEFARESH TOLID'!E41,base!D:D,)),0)</f>
        <v>0</v>
      </c>
      <c r="E41" s="125">
        <f>IFERROR(INDEX(base!D:D,MATCH(#REF!,base!G:G,0)),0)</f>
        <v>0</v>
      </c>
      <c r="F41" s="125"/>
      <c r="G41" s="154"/>
      <c r="H41" s="155"/>
      <c r="I41" s="156"/>
      <c r="J41" s="132"/>
      <c r="K41" s="145"/>
      <c r="L41" s="132"/>
      <c r="M41" s="133"/>
      <c r="N41" s="136"/>
    </row>
    <row r="42" spans="1:14" ht="17.399999999999999" x14ac:dyDescent="0.3">
      <c r="A42" s="135"/>
      <c r="B42" s="123">
        <v>35</v>
      </c>
      <c r="C42" s="124" cm="1">
        <f t="array" ref="C42">IFERROR(INDEX(base!E:E,+MATCH('SEFARESH TOLID'!E42,base!D:D,0)),0)</f>
        <v>0</v>
      </c>
      <c r="D42" s="124">
        <f>IFERROR(INDEX(base!C:C,MATCH('SEFARESH TOLID'!E42,base!D:D,)),0)</f>
        <v>0</v>
      </c>
      <c r="E42" s="125">
        <f>IFERROR(INDEX(base!D:D,MATCH(#REF!,base!G:G,0)),0)</f>
        <v>0</v>
      </c>
      <c r="F42" s="125"/>
      <c r="G42" s="154"/>
      <c r="H42" s="155"/>
      <c r="I42" s="156"/>
      <c r="J42" s="132"/>
      <c r="K42" s="145"/>
      <c r="L42" s="132"/>
      <c r="M42" s="133"/>
      <c r="N42" s="136"/>
    </row>
    <row r="43" spans="1:14" ht="17.399999999999999" x14ac:dyDescent="0.3">
      <c r="A43" s="135"/>
      <c r="B43" s="123">
        <v>36</v>
      </c>
      <c r="C43" s="124" cm="1">
        <f t="array" ref="C43">IFERROR(INDEX(base!E:E,+MATCH('SEFARESH TOLID'!E43,base!D:D,0)),0)</f>
        <v>0</v>
      </c>
      <c r="D43" s="124">
        <f>IFERROR(INDEX(base!C:C,MATCH('SEFARESH TOLID'!E43,base!D:D,)),0)</f>
        <v>0</v>
      </c>
      <c r="E43" s="125">
        <f>IFERROR(INDEX(base!D:D,MATCH(#REF!,base!G:G,0)),0)</f>
        <v>0</v>
      </c>
      <c r="F43" s="125"/>
      <c r="G43" s="154"/>
      <c r="H43" s="155"/>
      <c r="I43" s="156"/>
      <c r="J43" s="132"/>
      <c r="K43" s="145"/>
      <c r="L43" s="132"/>
      <c r="M43" s="133"/>
      <c r="N43" s="136"/>
    </row>
    <row r="44" spans="1:14" ht="17.399999999999999" x14ac:dyDescent="0.3">
      <c r="A44" s="135"/>
      <c r="B44" s="123">
        <v>37</v>
      </c>
      <c r="C44" s="124" cm="1">
        <f t="array" ref="C44">IFERROR(INDEX(base!E:E,+MATCH('SEFARESH TOLID'!E44,base!D:D,0)),0)</f>
        <v>0</v>
      </c>
      <c r="D44" s="124">
        <f>IFERROR(INDEX(base!C:C,MATCH('SEFARESH TOLID'!E44,base!D:D,)),0)</f>
        <v>0</v>
      </c>
      <c r="E44" s="125">
        <f>IFERROR(INDEX(base!D:D,MATCH(#REF!,base!G:G,0)),0)</f>
        <v>0</v>
      </c>
      <c r="F44" s="125"/>
      <c r="G44" s="154"/>
      <c r="H44" s="155"/>
      <c r="I44" s="156"/>
      <c r="J44" s="132"/>
      <c r="K44" s="145"/>
      <c r="L44" s="132"/>
      <c r="M44" s="133"/>
      <c r="N44" s="136"/>
    </row>
    <row r="45" spans="1:14" ht="17.399999999999999" x14ac:dyDescent="0.3">
      <c r="A45" s="135"/>
      <c r="B45" s="123">
        <v>38</v>
      </c>
      <c r="C45" s="124" cm="1">
        <f t="array" ref="C45">IFERROR(INDEX(base!E:E,+MATCH('SEFARESH TOLID'!E45,base!D:D,0)),0)</f>
        <v>0</v>
      </c>
      <c r="D45" s="124">
        <f>IFERROR(INDEX(base!C:C,MATCH('SEFARESH TOLID'!E45,base!D:D,)),0)</f>
        <v>0</v>
      </c>
      <c r="E45" s="125">
        <f>IFERROR(INDEX(base!D:D,MATCH(#REF!,base!G:G,0)),0)</f>
        <v>0</v>
      </c>
      <c r="F45" s="125"/>
      <c r="G45" s="154"/>
      <c r="H45" s="155"/>
      <c r="I45" s="156"/>
      <c r="J45" s="132"/>
      <c r="K45" s="145"/>
      <c r="L45" s="132"/>
      <c r="M45" s="133"/>
      <c r="N45" s="136"/>
    </row>
    <row r="46" spans="1:14" ht="17.399999999999999" x14ac:dyDescent="0.3">
      <c r="A46" s="135"/>
      <c r="B46" s="123">
        <v>39</v>
      </c>
      <c r="C46" s="124" cm="1">
        <f t="array" ref="C46">IFERROR(INDEX(base!E:E,+MATCH('SEFARESH TOLID'!E46,base!D:D,0)),0)</f>
        <v>0</v>
      </c>
      <c r="D46" s="124">
        <f>IFERROR(INDEX(base!C:C,MATCH('SEFARESH TOLID'!E46,base!D:D,)),0)</f>
        <v>0</v>
      </c>
      <c r="E46" s="125">
        <f>IFERROR(INDEX(base!D:D,MATCH(#REF!,base!G:G,0)),0)</f>
        <v>0</v>
      </c>
      <c r="F46" s="125"/>
      <c r="G46" s="154"/>
      <c r="H46" s="155"/>
      <c r="I46" s="156"/>
      <c r="J46" s="132"/>
      <c r="K46" s="145"/>
      <c r="L46" s="132"/>
      <c r="M46" s="133"/>
      <c r="N46" s="136"/>
    </row>
    <row r="47" spans="1:14" ht="15" customHeight="1" thickBot="1" x14ac:dyDescent="0.35">
      <c r="A47" s="135"/>
      <c r="B47" s="76">
        <v>40</v>
      </c>
      <c r="C47" s="77" cm="1">
        <f t="array" ref="C47">IFERROR(INDEX(base!E:E,+MATCH('SEFARESH TOLID'!E47,base!D:D,0)),0)</f>
        <v>0</v>
      </c>
      <c r="D47" s="77">
        <f>IFERROR(INDEX(base!C:C,MATCH('SEFARESH TOLID'!E47,base!D:D,)),0)</f>
        <v>0</v>
      </c>
      <c r="E47" s="75">
        <f>IFERROR(INDEX(base!D:D,MATCH(#REF!,base!G:G,0)),0)</f>
        <v>0</v>
      </c>
      <c r="F47" s="75"/>
      <c r="G47" s="157"/>
      <c r="H47" s="158"/>
      <c r="I47" s="159"/>
      <c r="J47" s="162"/>
      <c r="K47" s="163"/>
      <c r="L47" s="162"/>
      <c r="M47" s="171"/>
      <c r="N47" s="136"/>
    </row>
    <row r="48" spans="1:14" ht="17.25" customHeight="1" thickTop="1" thickBot="1" x14ac:dyDescent="0.6">
      <c r="A48" s="135"/>
      <c r="B48" s="229" t="s">
        <v>301</v>
      </c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1"/>
      <c r="N48" s="136"/>
    </row>
    <row r="49" spans="1:14" ht="15" customHeight="1" thickTop="1" x14ac:dyDescent="0.3">
      <c r="A49" s="135"/>
      <c r="B49" s="209" t="s">
        <v>302</v>
      </c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1"/>
      <c r="N49" s="136"/>
    </row>
    <row r="50" spans="1:14" ht="24.75" customHeight="1" x14ac:dyDescent="0.3">
      <c r="A50" s="135"/>
      <c r="B50" s="188" t="s">
        <v>303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95"/>
      <c r="N50" s="136"/>
    </row>
    <row r="51" spans="1:14" ht="18.75" customHeight="1" thickBot="1" x14ac:dyDescent="0.35">
      <c r="A51" s="135"/>
      <c r="B51" s="200" t="s">
        <v>304</v>
      </c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2"/>
      <c r="N51" s="136"/>
    </row>
    <row r="52" spans="1:14" ht="21.75" customHeight="1" thickTop="1" x14ac:dyDescent="0.3">
      <c r="A52" s="135"/>
      <c r="B52" s="203" t="s">
        <v>317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5"/>
      <c r="N52" s="136"/>
    </row>
    <row r="53" spans="1:14" ht="15" customHeight="1" thickBot="1" x14ac:dyDescent="0.35">
      <c r="A53" s="135"/>
      <c r="B53" s="206" t="s">
        <v>305</v>
      </c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8"/>
      <c r="N53" s="136"/>
    </row>
    <row r="54" spans="1:14" ht="19.5" customHeight="1" thickTop="1" x14ac:dyDescent="0.3">
      <c r="A54" s="135"/>
      <c r="B54" s="209" t="s">
        <v>306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11"/>
      <c r="N54" s="136"/>
    </row>
    <row r="55" spans="1:14" ht="15.75" customHeight="1" thickBot="1" x14ac:dyDescent="0.35">
      <c r="A55" s="135"/>
      <c r="B55" s="174" t="s">
        <v>307</v>
      </c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6"/>
      <c r="N55" s="136"/>
    </row>
    <row r="56" spans="1:14" ht="18.75" customHeight="1" thickBot="1" x14ac:dyDescent="0.55000000000000004">
      <c r="A56" s="135"/>
      <c r="B56" s="212" t="s">
        <v>799</v>
      </c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4"/>
      <c r="N56" s="136"/>
    </row>
    <row r="57" spans="1:14" ht="18.75" customHeight="1" thickTop="1" thickBot="1" x14ac:dyDescent="0.55000000000000004">
      <c r="A57" s="135"/>
      <c r="B57" s="142" t="s">
        <v>362</v>
      </c>
      <c r="C57" s="143"/>
      <c r="D57" s="143"/>
      <c r="E57" s="143"/>
      <c r="F57" s="143"/>
      <c r="G57" s="72" t="s">
        <v>274</v>
      </c>
      <c r="H57" s="166"/>
      <c r="I57" s="167"/>
      <c r="J57" s="73" t="s">
        <v>363</v>
      </c>
      <c r="K57" s="144" t="s">
        <v>364</v>
      </c>
      <c r="L57" s="144"/>
      <c r="M57" s="74"/>
      <c r="N57" s="136"/>
    </row>
    <row r="58" spans="1:14" ht="15" customHeight="1" x14ac:dyDescent="0.3">
      <c r="A58" s="135"/>
      <c r="B58" s="188" t="s">
        <v>308</v>
      </c>
      <c r="C58" s="189"/>
      <c r="D58" s="189"/>
      <c r="E58" s="190"/>
      <c r="F58" s="194" t="s">
        <v>314</v>
      </c>
      <c r="G58" s="189"/>
      <c r="H58" s="189"/>
      <c r="I58" s="189"/>
      <c r="J58" s="189"/>
      <c r="K58" s="189"/>
      <c r="L58" s="189"/>
      <c r="M58" s="195"/>
      <c r="N58" s="136"/>
    </row>
    <row r="59" spans="1:14" ht="15.75" customHeight="1" x14ac:dyDescent="0.3">
      <c r="A59" s="135"/>
      <c r="B59" s="191"/>
      <c r="C59" s="192"/>
      <c r="D59" s="192"/>
      <c r="E59" s="193"/>
      <c r="F59" s="196"/>
      <c r="G59" s="192"/>
      <c r="H59" s="192"/>
      <c r="I59" s="192"/>
      <c r="J59" s="192"/>
      <c r="K59" s="192"/>
      <c r="L59" s="192"/>
      <c r="M59" s="197"/>
      <c r="N59" s="136"/>
    </row>
    <row r="60" spans="1:14" ht="24.75" customHeight="1" x14ac:dyDescent="0.3">
      <c r="A60" s="135"/>
      <c r="B60" s="198" t="s">
        <v>309</v>
      </c>
      <c r="C60" s="199"/>
      <c r="D60" s="68" t="s">
        <v>315</v>
      </c>
      <c r="E60" s="60" t="s">
        <v>310</v>
      </c>
      <c r="F60" s="179" t="s">
        <v>315</v>
      </c>
      <c r="G60" s="181"/>
      <c r="H60" s="179" t="s">
        <v>310</v>
      </c>
      <c r="I60" s="181"/>
      <c r="J60" s="179" t="s">
        <v>318</v>
      </c>
      <c r="K60" s="181"/>
      <c r="L60" s="179" t="s">
        <v>310</v>
      </c>
      <c r="M60" s="180"/>
      <c r="N60" s="136"/>
    </row>
    <row r="61" spans="1:14" ht="15.75" customHeight="1" x14ac:dyDescent="0.3">
      <c r="A61" s="135"/>
      <c r="B61" s="172"/>
      <c r="C61" s="173"/>
      <c r="D61" s="68"/>
      <c r="E61" s="61"/>
      <c r="F61" s="179"/>
      <c r="G61" s="181"/>
      <c r="H61" s="179"/>
      <c r="I61" s="181"/>
      <c r="J61" s="215"/>
      <c r="K61" s="216"/>
      <c r="L61" s="215"/>
      <c r="M61" s="219"/>
      <c r="N61" s="136"/>
    </row>
    <row r="62" spans="1:14" ht="12.75" customHeight="1" x14ac:dyDescent="0.3">
      <c r="A62" s="135"/>
      <c r="B62" s="172"/>
      <c r="C62" s="173"/>
      <c r="D62" s="68"/>
      <c r="E62" s="61"/>
      <c r="F62" s="179"/>
      <c r="G62" s="181"/>
      <c r="H62" s="179"/>
      <c r="I62" s="181"/>
      <c r="J62" s="215"/>
      <c r="K62" s="216"/>
      <c r="L62" s="215"/>
      <c r="M62" s="219"/>
      <c r="N62" s="136"/>
    </row>
    <row r="63" spans="1:14" ht="16.5" customHeight="1" x14ac:dyDescent="0.3">
      <c r="A63" s="135"/>
      <c r="B63" s="168" t="s">
        <v>311</v>
      </c>
      <c r="C63" s="169"/>
      <c r="D63" s="67"/>
      <c r="E63" s="62"/>
      <c r="F63" s="177"/>
      <c r="G63" s="178"/>
      <c r="H63" s="179"/>
      <c r="I63" s="181"/>
      <c r="J63" s="217"/>
      <c r="K63" s="218"/>
      <c r="L63" s="179"/>
      <c r="M63" s="180"/>
      <c r="N63" s="136"/>
    </row>
    <row r="64" spans="1:14" ht="20.25" customHeight="1" thickBot="1" x14ac:dyDescent="0.35">
      <c r="A64" s="135"/>
      <c r="B64" s="182" t="s">
        <v>312</v>
      </c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4"/>
      <c r="N64" s="136"/>
    </row>
    <row r="65" spans="1:14" ht="24.75" customHeight="1" thickTop="1" thickBot="1" x14ac:dyDescent="0.35">
      <c r="A65" s="135"/>
      <c r="B65" s="185" t="s">
        <v>313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7"/>
      <c r="N65" s="136"/>
    </row>
    <row r="66" spans="1:14" ht="6" customHeight="1" thickTop="1" x14ac:dyDescent="0.3"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6"/>
    </row>
  </sheetData>
  <mergeCells count="138">
    <mergeCell ref="B5:C5"/>
    <mergeCell ref="D5:H5"/>
    <mergeCell ref="C3:D3"/>
    <mergeCell ref="D4:K4"/>
    <mergeCell ref="B2:M2"/>
    <mergeCell ref="L6:M6"/>
    <mergeCell ref="L8:M8"/>
    <mergeCell ref="L9:M9"/>
    <mergeCell ref="B50:M50"/>
    <mergeCell ref="B49:M49"/>
    <mergeCell ref="B48:M48"/>
    <mergeCell ref="J28:K28"/>
    <mergeCell ref="L28:M28"/>
    <mergeCell ref="B6:C6"/>
    <mergeCell ref="G6:I6"/>
    <mergeCell ref="I5:J5"/>
    <mergeCell ref="L18:M18"/>
    <mergeCell ref="L19:M19"/>
    <mergeCell ref="L20:M20"/>
    <mergeCell ref="L21:M21"/>
    <mergeCell ref="L10:M10"/>
    <mergeCell ref="L11:M11"/>
    <mergeCell ref="L12:M12"/>
    <mergeCell ref="L13:M13"/>
    <mergeCell ref="L14:M14"/>
    <mergeCell ref="B64:M64"/>
    <mergeCell ref="B65:M65"/>
    <mergeCell ref="B58:E59"/>
    <mergeCell ref="F58:M59"/>
    <mergeCell ref="B60:C60"/>
    <mergeCell ref="B51:M51"/>
    <mergeCell ref="B52:M52"/>
    <mergeCell ref="B53:M53"/>
    <mergeCell ref="B54:M54"/>
    <mergeCell ref="B56:M56"/>
    <mergeCell ref="F60:G60"/>
    <mergeCell ref="F61:G61"/>
    <mergeCell ref="F62:G62"/>
    <mergeCell ref="L60:M60"/>
    <mergeCell ref="J61:K61"/>
    <mergeCell ref="J62:K62"/>
    <mergeCell ref="J63:K63"/>
    <mergeCell ref="L61:M61"/>
    <mergeCell ref="L62:M62"/>
    <mergeCell ref="H60:I60"/>
    <mergeCell ref="H61:I61"/>
    <mergeCell ref="H62:I62"/>
    <mergeCell ref="H63:I63"/>
    <mergeCell ref="H57:I57"/>
    <mergeCell ref="B63:C63"/>
    <mergeCell ref="L7:M7"/>
    <mergeCell ref="L47:M47"/>
    <mergeCell ref="L40:M40"/>
    <mergeCell ref="L41:M41"/>
    <mergeCell ref="L42:M42"/>
    <mergeCell ref="L43:M43"/>
    <mergeCell ref="L44:M44"/>
    <mergeCell ref="L45:M45"/>
    <mergeCell ref="L16:M16"/>
    <mergeCell ref="L17:M17"/>
    <mergeCell ref="L29:M29"/>
    <mergeCell ref="L30:M30"/>
    <mergeCell ref="L31:M31"/>
    <mergeCell ref="L32:M32"/>
    <mergeCell ref="B61:C61"/>
    <mergeCell ref="B62:C62"/>
    <mergeCell ref="B55:M55"/>
    <mergeCell ref="J11:K11"/>
    <mergeCell ref="F63:G63"/>
    <mergeCell ref="L63:M63"/>
    <mergeCell ref="J60:K60"/>
    <mergeCell ref="L22:M22"/>
    <mergeCell ref="J42:K42"/>
    <mergeCell ref="J43:K43"/>
    <mergeCell ref="J44:K44"/>
    <mergeCell ref="J45:K45"/>
    <mergeCell ref="J16:K16"/>
    <mergeCell ref="J17:K17"/>
    <mergeCell ref="J29:K29"/>
    <mergeCell ref="J30:K30"/>
    <mergeCell ref="J31:K31"/>
    <mergeCell ref="J32:K32"/>
    <mergeCell ref="J18:K18"/>
    <mergeCell ref="J19:K19"/>
    <mergeCell ref="J20:K20"/>
    <mergeCell ref="J21:K21"/>
    <mergeCell ref="J39:K39"/>
    <mergeCell ref="J33:K33"/>
    <mergeCell ref="J34:K34"/>
    <mergeCell ref="J41:K41"/>
    <mergeCell ref="L27:M27"/>
    <mergeCell ref="J22:K22"/>
    <mergeCell ref="J23:K23"/>
    <mergeCell ref="J24:K24"/>
    <mergeCell ref="J25:K25"/>
    <mergeCell ref="J26:K26"/>
    <mergeCell ref="J27:K27"/>
    <mergeCell ref="F3:G3"/>
    <mergeCell ref="G7:I7"/>
    <mergeCell ref="J8:K8"/>
    <mergeCell ref="J9:K9"/>
    <mergeCell ref="J10:K10"/>
    <mergeCell ref="G8:I47"/>
    <mergeCell ref="J46:K46"/>
    <mergeCell ref="J6:K6"/>
    <mergeCell ref="J7:K7"/>
    <mergeCell ref="J12:K12"/>
    <mergeCell ref="J13:K13"/>
    <mergeCell ref="J14:K14"/>
    <mergeCell ref="J15:K15"/>
    <mergeCell ref="J47:K47"/>
    <mergeCell ref="L15:M15"/>
    <mergeCell ref="K5:M5"/>
    <mergeCell ref="J40:K40"/>
    <mergeCell ref="L46:M46"/>
    <mergeCell ref="B1:M1"/>
    <mergeCell ref="A1:A65"/>
    <mergeCell ref="N2:N66"/>
    <mergeCell ref="B66:M66"/>
    <mergeCell ref="L39:M39"/>
    <mergeCell ref="L33:M33"/>
    <mergeCell ref="L34:M34"/>
    <mergeCell ref="L35:M35"/>
    <mergeCell ref="L36:M36"/>
    <mergeCell ref="L37:M37"/>
    <mergeCell ref="L38:M38"/>
    <mergeCell ref="I3:J3"/>
    <mergeCell ref="K3:M3"/>
    <mergeCell ref="B57:F57"/>
    <mergeCell ref="K57:L57"/>
    <mergeCell ref="J35:K35"/>
    <mergeCell ref="J36:K36"/>
    <mergeCell ref="J37:K37"/>
    <mergeCell ref="J38:K38"/>
    <mergeCell ref="L23:M23"/>
    <mergeCell ref="L24:M24"/>
    <mergeCell ref="L25:M25"/>
    <mergeCell ref="L26:M26"/>
  </mergeCells>
  <conditionalFormatting sqref="C8:F47">
    <cfRule type="cellIs" dxfId="0" priority="1" operator="equal">
      <formula>0</formula>
    </cfRule>
  </conditionalFormatting>
  <pageMargins left="0.7" right="0.7" top="0.75" bottom="0.75" header="0.3" footer="0.3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base</vt:lpstr>
      <vt:lpstr>SEFARESH TOLID</vt:lpstr>
      <vt:lpstr>'SEFARESH TOLID'!_Hlk327020827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2025-12-01T04:41:19Z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