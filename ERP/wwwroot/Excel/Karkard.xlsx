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My Src\ERP\wwwroot\Excel\"/>
    </mc:Choice>
  </mc:AlternateContent>
  <xr:revisionPtr revIDLastSave="0" documentId="13_ncr:1_{12D270EA-AA30-4310-9EE6-22460D6C2457}" xr6:coauthVersionLast="47" xr6:coauthVersionMax="47" xr10:uidLastSave="{00000000-0000-0000-0000-000000000000}"/>
  <bookViews>
    <workbookView xWindow="-120" yWindow="-120" windowWidth="21840" windowHeight="13140" tabRatio="703" activeTab="3" xr2:uid="{00000000-000D-0000-FFFF-FFFF00000000}"/>
  </bookViews>
  <sheets>
    <sheet name="نهایی" sheetId="1" r:id="rId1"/>
    <sheet name="خلاصه عملکرد" sheetId="2" r:id="rId2"/>
    <sheet name="کارکرد اداری" sheetId="14" r:id="rId3"/>
    <sheet name="اداری 1" sheetId="19" r:id="rId4"/>
    <sheet name="کلید" sheetId="8" state="hidden" r:id="rId5"/>
    <sheet name="قطع کن" sheetId="9" state="hidden" r:id="rId6"/>
    <sheet name="کنتور هوشمند" sheetId="10" state="hidden" r:id="rId7"/>
    <sheet name="کنتور" sheetId="11" state="hidden" r:id="rId8"/>
    <sheet name="پایه کنتور" sheetId="12" state="hidden" r:id="rId9"/>
  </sheets>
  <definedNames>
    <definedName name="_xlnm._FilterDatabase" localSheetId="3" hidden="1">'اداری 1'!$A$7:$AB$7</definedName>
    <definedName name="_xlnm._FilterDatabase" localSheetId="1" hidden="1">'خلاصه عملکرد'!$A$2:$Y$106</definedName>
    <definedName name="_xlnm._FilterDatabase" localSheetId="2" hidden="1">'کارکرد اداری'!$A$3:$T$106</definedName>
    <definedName name="_xlnm._FilterDatabase" localSheetId="0" hidden="1">نهایی!$A$1:$DC$124</definedName>
    <definedName name="_xlnm.Print_Area" localSheetId="3">'اداری 1'!$A$2:$AB$7</definedName>
    <definedName name="_xlnm.Print_Area" localSheetId="1">'خلاصه عملکرد'!$A$2:$S$82</definedName>
    <definedName name="_xlnm.Print_Area" localSheetId="2">'کارکرد اداری'!$A$3:$E$80</definedName>
  </definedNames>
  <calcPr calcId="191029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X6" i="1" l="1" a="1"/>
  <c r="CX6" i="1" s="1"/>
  <c r="Q3" i="2" a="1"/>
  <c r="Q3" i="2" s="1"/>
  <c r="S3" i="2"/>
  <c r="U3" i="2" s="1"/>
  <c r="DB17" i="1"/>
  <c r="DB15" i="1"/>
  <c r="DB14" i="1"/>
  <c r="DB13" i="1"/>
  <c r="DB12" i="1"/>
  <c r="DB11" i="1"/>
  <c r="DB10" i="1"/>
  <c r="DB9" i="1"/>
  <c r="DB8" i="1"/>
  <c r="DB7" i="1"/>
  <c r="DB5" i="1"/>
  <c r="DB4" i="1"/>
  <c r="CY4" i="1"/>
  <c r="CX4" i="1" a="1"/>
  <c r="CX4" i="1" s="1"/>
  <c r="Q59" i="2" a="1"/>
  <c r="Q59" i="2" s="1"/>
  <c r="S57" i="2"/>
  <c r="S91" i="2"/>
  <c r="I3" i="2"/>
  <c r="H3" i="2"/>
  <c r="G57" i="2"/>
  <c r="G62" i="2"/>
  <c r="G64" i="2"/>
  <c r="G92" i="2"/>
  <c r="G93" i="2"/>
  <c r="G3" i="2"/>
  <c r="CX16" i="1" a="1"/>
  <c r="CX16" i="1" s="1"/>
  <c r="CY16" i="1" s="1"/>
  <c r="CX13" i="1" a="1"/>
  <c r="CX13" i="1" s="1"/>
  <c r="CY13" i="1" s="1"/>
  <c r="CX9" i="1" a="1"/>
  <c r="CX9" i="1" s="1"/>
  <c r="CY9" i="1" s="1"/>
  <c r="CX5" i="1" a="1"/>
  <c r="CX5" i="1" s="1"/>
  <c r="CY5" i="1" s="1"/>
  <c r="CX7" i="1" a="1"/>
  <c r="CX7" i="1" s="1"/>
  <c r="S28" i="2" s="1"/>
  <c r="CX8" i="1" a="1"/>
  <c r="CX8" i="1" s="1"/>
  <c r="CY8" i="1" s="1"/>
  <c r="CX10" i="1" a="1"/>
  <c r="CX10" i="1" s="1"/>
  <c r="CY10" i="1" s="1"/>
  <c r="CX11" i="1" a="1"/>
  <c r="CX11" i="1" s="1"/>
  <c r="S18" i="2" s="1"/>
  <c r="CX12" i="1" a="1"/>
  <c r="CX12" i="1" s="1"/>
  <c r="S11" i="2" s="1"/>
  <c r="CX14" i="1" a="1"/>
  <c r="CX14" i="1" s="1"/>
  <c r="CY14" i="1" s="1"/>
  <c r="CX15" i="1" a="1"/>
  <c r="CX15" i="1" s="1"/>
  <c r="S20" i="2" s="1"/>
  <c r="CX17" i="1" a="1"/>
  <c r="CX17" i="1" s="1"/>
  <c r="CY17" i="1" s="1"/>
  <c r="CX18" i="1" a="1"/>
  <c r="CX18" i="1" s="1"/>
  <c r="CY18" i="1" s="1"/>
  <c r="CX19" i="1" a="1"/>
  <c r="CX19" i="1" s="1"/>
  <c r="S32" i="2" s="1"/>
  <c r="CX20" i="1" a="1"/>
  <c r="CX20" i="1" s="1"/>
  <c r="S50" i="2" s="1"/>
  <c r="CX21" i="1" a="1"/>
  <c r="CX21" i="1" s="1"/>
  <c r="CY21" i="1" s="1"/>
  <c r="CX22" i="1" a="1"/>
  <c r="CX22" i="1" s="1"/>
  <c r="CY22" i="1" s="1"/>
  <c r="CX23" i="1" a="1"/>
  <c r="CX23" i="1" s="1"/>
  <c r="CY23" i="1" s="1"/>
  <c r="CX24" i="1" a="1"/>
  <c r="CX24" i="1" s="1"/>
  <c r="CY24" i="1" s="1"/>
  <c r="CX25" i="1" a="1"/>
  <c r="CX25" i="1" s="1"/>
  <c r="CY25" i="1" s="1"/>
  <c r="CX26" i="1" a="1"/>
  <c r="CX26" i="1" s="1"/>
  <c r="CY26" i="1" s="1"/>
  <c r="CX27" i="1" a="1"/>
  <c r="CX27" i="1" s="1"/>
  <c r="S44" i="2" s="1"/>
  <c r="CX28" i="1" a="1"/>
  <c r="CX28" i="1" s="1"/>
  <c r="S4" i="2" s="1"/>
  <c r="CX29" i="1" a="1"/>
  <c r="CX29" i="1" s="1"/>
  <c r="CY29" i="1" s="1"/>
  <c r="CX30" i="1" a="1"/>
  <c r="CX30" i="1" s="1"/>
  <c r="CY30" i="1" s="1"/>
  <c r="CX31" i="1" a="1"/>
  <c r="CX31" i="1" s="1"/>
  <c r="CY31" i="1" s="1"/>
  <c r="CX32" i="1" a="1"/>
  <c r="CX32" i="1" s="1"/>
  <c r="CY32" i="1" s="1"/>
  <c r="CX33" i="1" a="1"/>
  <c r="CX33" i="1" s="1"/>
  <c r="CY33" i="1" s="1"/>
  <c r="CX34" i="1" a="1"/>
  <c r="CX34" i="1" s="1"/>
  <c r="CY34" i="1" s="1"/>
  <c r="CX35" i="1" a="1"/>
  <c r="CX35" i="1" s="1"/>
  <c r="S74" i="2" s="1"/>
  <c r="CX36" i="1" a="1"/>
  <c r="CX36" i="1" s="1"/>
  <c r="S37" i="2" s="1"/>
  <c r="CX37" i="1" a="1"/>
  <c r="CX37" i="1" s="1"/>
  <c r="CY37" i="1" s="1"/>
  <c r="CX38" i="1" a="1"/>
  <c r="CX38" i="1" s="1"/>
  <c r="CY38" i="1" s="1"/>
  <c r="CX39" i="1" a="1"/>
  <c r="CX39" i="1" s="1"/>
  <c r="CX40" i="1" a="1"/>
  <c r="CX40" i="1" s="1"/>
  <c r="CY40" i="1" s="1"/>
  <c r="CX41" i="1" a="1"/>
  <c r="CX41" i="1" s="1"/>
  <c r="CX42" i="1" a="1"/>
  <c r="CX42" i="1" s="1"/>
  <c r="CY42" i="1" s="1"/>
  <c r="CX43" i="1" a="1"/>
  <c r="CX43" i="1" s="1"/>
  <c r="S38" i="2" s="1"/>
  <c r="CX44" i="1" a="1"/>
  <c r="CX44" i="1" s="1"/>
  <c r="S21" i="2" s="1"/>
  <c r="CX45" i="1" a="1"/>
  <c r="CX45" i="1" s="1"/>
  <c r="CY45" i="1" s="1"/>
  <c r="CX46" i="1" a="1"/>
  <c r="CX46" i="1" s="1"/>
  <c r="CY46" i="1" s="1"/>
  <c r="CX47" i="1" a="1"/>
  <c r="CX47" i="1" s="1"/>
  <c r="CX48" i="1" a="1"/>
  <c r="CX48" i="1" s="1"/>
  <c r="CX49" i="1" a="1"/>
  <c r="CX49" i="1" s="1"/>
  <c r="CY49" i="1" s="1"/>
  <c r="CX50" i="1" a="1"/>
  <c r="CX50" i="1" s="1"/>
  <c r="CY50" i="1" s="1"/>
  <c r="CX51" i="1" a="1"/>
  <c r="CX51" i="1" s="1"/>
  <c r="CX52" i="1" a="1"/>
  <c r="CX52" i="1" s="1"/>
  <c r="CY52" i="1" s="1"/>
  <c r="CX53" i="1" a="1"/>
  <c r="CX53" i="1" s="1"/>
  <c r="CX54" i="1" a="1"/>
  <c r="CX54" i="1" s="1"/>
  <c r="CY54" i="1" s="1"/>
  <c r="CX55" i="1" a="1"/>
  <c r="CX55" i="1" s="1"/>
  <c r="CX56" i="1" a="1"/>
  <c r="CX56" i="1" s="1"/>
  <c r="CY56" i="1" s="1"/>
  <c r="CX57" i="1" a="1"/>
  <c r="CX57" i="1" s="1"/>
  <c r="CX58" i="1" a="1"/>
  <c r="CX58" i="1" s="1"/>
  <c r="CY58" i="1" s="1"/>
  <c r="CX59" i="1" a="1"/>
  <c r="CX59" i="1" s="1"/>
  <c r="CX60" i="1" a="1"/>
  <c r="CX60" i="1" s="1"/>
  <c r="CX61" i="1" a="1"/>
  <c r="CX61" i="1" s="1"/>
  <c r="CY61" i="1" s="1"/>
  <c r="CX62" i="1" a="1"/>
  <c r="CX62" i="1" s="1"/>
  <c r="CY62" i="1" s="1"/>
  <c r="CX63" i="1" a="1"/>
  <c r="CX63" i="1" s="1"/>
  <c r="CX64" i="1" a="1"/>
  <c r="CX64" i="1" s="1"/>
  <c r="CY64" i="1" s="1"/>
  <c r="CX65" i="1" a="1"/>
  <c r="CX65" i="1" s="1"/>
  <c r="CY65" i="1" s="1"/>
  <c r="CX66" i="1" a="1"/>
  <c r="CX66" i="1" s="1"/>
  <c r="CY66" i="1" s="1"/>
  <c r="CX67" i="1" a="1"/>
  <c r="CX67" i="1" s="1"/>
  <c r="CX68" i="1" a="1"/>
  <c r="CX68" i="1" s="1"/>
  <c r="CX69" i="1" a="1"/>
  <c r="CX69" i="1" s="1"/>
  <c r="CX70" i="1" a="1"/>
  <c r="CX70" i="1" s="1"/>
  <c r="CY70" i="1" s="1"/>
  <c r="CX71" i="1" a="1"/>
  <c r="CX71" i="1" s="1"/>
  <c r="CX72" i="1" a="1"/>
  <c r="CX72" i="1" s="1"/>
  <c r="CY72" i="1" s="1"/>
  <c r="CX73" i="1" a="1"/>
  <c r="CX73" i="1" s="1"/>
  <c r="CX74" i="1" a="1"/>
  <c r="CX74" i="1" s="1"/>
  <c r="CY74" i="1" s="1"/>
  <c r="CX75" i="1" a="1"/>
  <c r="CX75" i="1" s="1"/>
  <c r="CY75" i="1" s="1"/>
  <c r="CX76" i="1" a="1"/>
  <c r="CX76" i="1" s="1"/>
  <c r="CX77" i="1" a="1"/>
  <c r="CX77" i="1" s="1"/>
  <c r="CY77" i="1" s="1"/>
  <c r="CX78" i="1" a="1"/>
  <c r="CX78" i="1" s="1"/>
  <c r="CY78" i="1" s="1"/>
  <c r="CX79" i="1" a="1"/>
  <c r="CX79" i="1" s="1"/>
  <c r="CX80" i="1" a="1"/>
  <c r="CX80" i="1" s="1"/>
  <c r="CY80" i="1" s="1"/>
  <c r="CX81" i="1" a="1"/>
  <c r="CX81" i="1" s="1"/>
  <c r="CY81" i="1" s="1"/>
  <c r="CX82" i="1" a="1"/>
  <c r="CX82" i="1" s="1"/>
  <c r="CY82" i="1" s="1"/>
  <c r="CX83" i="1" a="1"/>
  <c r="CX83" i="1" s="1"/>
  <c r="S53" i="2" s="1"/>
  <c r="CX84" i="1" a="1"/>
  <c r="CX84" i="1" s="1"/>
  <c r="S8" i="2" s="1"/>
  <c r="CX85" i="1" a="1"/>
  <c r="CX85" i="1" s="1"/>
  <c r="CX86" i="1" a="1"/>
  <c r="CX86" i="1" s="1"/>
  <c r="CY86" i="1" s="1"/>
  <c r="CX87" i="1" a="1"/>
  <c r="CX87" i="1" s="1"/>
  <c r="S84" i="2" s="1"/>
  <c r="CX88" i="1" a="1"/>
  <c r="CX88" i="1" s="1"/>
  <c r="CX89" i="1" a="1"/>
  <c r="CX89" i="1" s="1"/>
  <c r="S83" i="2" s="1"/>
  <c r="CX90" i="1" a="1"/>
  <c r="CX90" i="1" s="1"/>
  <c r="CY90" i="1" s="1"/>
  <c r="CX91" i="1" a="1"/>
  <c r="CX91" i="1" s="1"/>
  <c r="S78" i="2" s="1"/>
  <c r="CX92" i="1" a="1"/>
  <c r="CX92" i="1" s="1"/>
  <c r="S89" i="2" s="1"/>
  <c r="CX93" i="1" a="1"/>
  <c r="CX93" i="1" s="1"/>
  <c r="CY93" i="1" s="1"/>
  <c r="CX94" i="1" a="1"/>
  <c r="CX94" i="1" s="1"/>
  <c r="CY94" i="1" s="1"/>
  <c r="CX95" i="1" a="1"/>
  <c r="CX95" i="1" s="1"/>
  <c r="CX96" i="1" a="1"/>
  <c r="CX96" i="1" s="1"/>
  <c r="CX97" i="1" a="1"/>
  <c r="CX97" i="1" s="1"/>
  <c r="CY97" i="1" s="1"/>
  <c r="CX98" i="1" a="1"/>
  <c r="CX98" i="1" s="1"/>
  <c r="CY98" i="1" s="1"/>
  <c r="CX99" i="1" a="1"/>
  <c r="CX99" i="1" s="1"/>
  <c r="CY99" i="1" s="1"/>
  <c r="CX100" i="1" a="1"/>
  <c r="CX100" i="1" s="1"/>
  <c r="CY100" i="1" s="1"/>
  <c r="CX101" i="1" a="1"/>
  <c r="CX101" i="1" s="1"/>
  <c r="CY101" i="1" s="1"/>
  <c r="CX102" i="1" a="1"/>
  <c r="CX102" i="1" s="1"/>
  <c r="CY102" i="1" s="1"/>
  <c r="CX103" i="1" a="1"/>
  <c r="CX103" i="1" s="1"/>
  <c r="CX104" i="1" a="1"/>
  <c r="CX104" i="1" s="1"/>
  <c r="CX105" i="1" a="1"/>
  <c r="CX105" i="1" s="1"/>
  <c r="CX106" i="1" a="1"/>
  <c r="CX106" i="1" s="1"/>
  <c r="CX107" i="1" a="1"/>
  <c r="CX107" i="1" s="1"/>
  <c r="CX108" i="1" a="1"/>
  <c r="CX108" i="1" s="1"/>
  <c r="CX109" i="1" a="1"/>
  <c r="CX109" i="1" s="1"/>
  <c r="CX110" i="1" a="1"/>
  <c r="CX110" i="1" s="1"/>
  <c r="CX111" i="1" a="1"/>
  <c r="CX111" i="1" s="1"/>
  <c r="CX112" i="1" a="1"/>
  <c r="CX112" i="1" s="1"/>
  <c r="CX113" i="1" a="1"/>
  <c r="CX113" i="1" s="1"/>
  <c r="CX114" i="1" a="1"/>
  <c r="CX114" i="1" s="1"/>
  <c r="CX115" i="1" a="1"/>
  <c r="CX115" i="1" s="1"/>
  <c r="CX116" i="1" a="1"/>
  <c r="CX116" i="1" s="1"/>
  <c r="CX117" i="1" a="1"/>
  <c r="CX117" i="1" s="1"/>
  <c r="CX118" i="1" a="1"/>
  <c r="CX118" i="1" s="1"/>
  <c r="CX119" i="1" a="1"/>
  <c r="CX119" i="1" s="1"/>
  <c r="CX120" i="1" a="1"/>
  <c r="CX120" i="1" s="1"/>
  <c r="CX121" i="1" a="1"/>
  <c r="CX121" i="1" s="1"/>
  <c r="CX122" i="1" a="1"/>
  <c r="CX122" i="1" s="1"/>
  <c r="CX123" i="1" a="1"/>
  <c r="CX123" i="1" s="1"/>
  <c r="CX124" i="1" a="1"/>
  <c r="CX124" i="1" s="1"/>
  <c r="Q62" i="2" a="1"/>
  <c r="Q62" i="2" s="1"/>
  <c r="Q20" i="2" a="1"/>
  <c r="Q20" i="2" s="1"/>
  <c r="Q64" i="2" a="1"/>
  <c r="Q64" i="2" s="1"/>
  <c r="Q41" i="2" a="1"/>
  <c r="Q41" i="2" s="1"/>
  <c r="Q10" i="2" a="1"/>
  <c r="Q10" i="2" s="1"/>
  <c r="Q47" i="2" a="1"/>
  <c r="Q47" i="2" s="1"/>
  <c r="Q42" i="2" a="1"/>
  <c r="Q42" i="2" s="1"/>
  <c r="Q37" i="2" a="1"/>
  <c r="Q37" i="2" s="1"/>
  <c r="Q43" i="2" a="1"/>
  <c r="Q43" i="2" s="1"/>
  <c r="Q84" i="2" a="1"/>
  <c r="Q84" i="2" s="1"/>
  <c r="Q6" i="2" a="1"/>
  <c r="Q6" i="2" s="1"/>
  <c r="Q11" i="2" a="1"/>
  <c r="Q11" i="2" s="1"/>
  <c r="Q68" i="2" a="1"/>
  <c r="Q68" i="2" s="1"/>
  <c r="Q7" i="2" a="1"/>
  <c r="Q7" i="2" s="1"/>
  <c r="Q70" i="2" a="1"/>
  <c r="Q70" i="2" s="1"/>
  <c r="Q21" i="2" a="1"/>
  <c r="Q21" i="2" s="1"/>
  <c r="Q22" i="2" a="1"/>
  <c r="Q22" i="2" s="1"/>
  <c r="Q23" i="2" a="1"/>
  <c r="Q23" i="2" s="1"/>
  <c r="Q25" i="2" a="1"/>
  <c r="Q25" i="2" s="1"/>
  <c r="Q50" i="2" a="1"/>
  <c r="Q50" i="2" s="1"/>
  <c r="Q44" i="2" a="1"/>
  <c r="Q44" i="2" s="1"/>
  <c r="Q53" i="2" a="1"/>
  <c r="Q53" i="2" s="1"/>
  <c r="Q27" i="2" a="1"/>
  <c r="Q27" i="2" s="1"/>
  <c r="Q85" i="2" a="1"/>
  <c r="Q85" i="2" s="1"/>
  <c r="Q74" i="2" a="1"/>
  <c r="Q74" i="2" s="1"/>
  <c r="Q51" i="2" a="1"/>
  <c r="Q51" i="2" s="1"/>
  <c r="Q55" i="2" a="1"/>
  <c r="Q55" i="2" s="1"/>
  <c r="Q38" i="2" a="1"/>
  <c r="Q38" i="2" s="1"/>
  <c r="Q56" i="2" a="1"/>
  <c r="Q56" i="2" s="1"/>
  <c r="Q75" i="2" a="1"/>
  <c r="Q75" i="2" s="1"/>
  <c r="Q28" i="2" a="1"/>
  <c r="Q28" i="2" s="1"/>
  <c r="Q32" i="2" a="1"/>
  <c r="Q32" i="2" s="1"/>
  <c r="Q52" i="2" a="1"/>
  <c r="Q52" i="2" s="1"/>
  <c r="Q39" i="2" a="1"/>
  <c r="Q39" i="2" s="1"/>
  <c r="Q4" i="2" a="1"/>
  <c r="Q4" i="2" s="1"/>
  <c r="Q8" i="2" a="1"/>
  <c r="Q8" i="2" s="1"/>
  <c r="Q29" i="2" a="1"/>
  <c r="Q29" i="2" s="1"/>
  <c r="Q87" i="2" a="1"/>
  <c r="Q87" i="2" s="1"/>
  <c r="Q12" i="2" a="1"/>
  <c r="Q12" i="2" s="1"/>
  <c r="Q76" i="2" a="1"/>
  <c r="Q76" i="2" s="1"/>
  <c r="Q18" i="2" a="1"/>
  <c r="Q18" i="2" s="1"/>
  <c r="Q78" i="2" a="1"/>
  <c r="Q78" i="2" s="1"/>
  <c r="Q35" i="2" a="1"/>
  <c r="Q35" i="2" s="1"/>
  <c r="Q88" i="2" a="1"/>
  <c r="Q88" i="2" s="1"/>
  <c r="Q46" i="2" a="1"/>
  <c r="Q46" i="2" s="1"/>
  <c r="Q86" i="2" a="1"/>
  <c r="Q86" i="2" s="1"/>
  <c r="Q83" i="2" a="1"/>
  <c r="Q83" i="2" s="1"/>
  <c r="Q89" i="2" a="1"/>
  <c r="Q89" i="2" s="1"/>
  <c r="Q36" i="2" a="1"/>
  <c r="Q36" i="2" s="1"/>
  <c r="Q79" i="2" a="1"/>
  <c r="Q79" i="2" s="1"/>
  <c r="Q24" i="2" a="1"/>
  <c r="Q24" i="2" s="1"/>
  <c r="Q90" i="2" a="1"/>
  <c r="Q90" i="2" s="1"/>
  <c r="Q9" i="2" a="1"/>
  <c r="Q9" i="2" s="1"/>
  <c r="Q91" i="2" a="1"/>
  <c r="Q91" i="2" s="1"/>
  <c r="Q92" i="2" a="1"/>
  <c r="Q92" i="2" s="1"/>
  <c r="Q15" i="2" a="1"/>
  <c r="Q15" i="2" s="1"/>
  <c r="Q5" i="2" a="1"/>
  <c r="Q5" i="2" s="1"/>
  <c r="Q81" i="2" a="1"/>
  <c r="Q81" i="2" s="1"/>
  <c r="Q14" i="2" a="1"/>
  <c r="Q14" i="2" s="1"/>
  <c r="Q60" i="2" a="1"/>
  <c r="Q60" i="2" s="1"/>
  <c r="CY6" i="1" l="1"/>
  <c r="DB6" i="1"/>
  <c r="T3" i="2"/>
  <c r="S23" i="2"/>
  <c r="CY2" i="1"/>
  <c r="CY48" i="1"/>
  <c r="S90" i="2"/>
  <c r="CY96" i="1"/>
  <c r="S86" i="2"/>
  <c r="CY88" i="1"/>
  <c r="S85" i="2"/>
  <c r="S88" i="2"/>
  <c r="S87" i="2"/>
  <c r="S92" i="2"/>
  <c r="S75" i="2"/>
  <c r="CY85" i="1"/>
  <c r="CY67" i="1"/>
  <c r="CY53" i="1"/>
  <c r="S81" i="2"/>
  <c r="S10" i="2"/>
  <c r="CY47" i="1"/>
  <c r="CY41" i="1"/>
  <c r="S7" i="2"/>
  <c r="CY95" i="1"/>
  <c r="CY89" i="1"/>
  <c r="CY39" i="1"/>
  <c r="S52" i="2"/>
  <c r="CY57" i="1"/>
  <c r="CY79" i="1"/>
  <c r="S29" i="2"/>
  <c r="CY73" i="1"/>
  <c r="S70" i="2"/>
  <c r="S24" i="2"/>
  <c r="S46" i="2"/>
  <c r="S43" i="2"/>
  <c r="S41" i="2"/>
  <c r="S5" i="2"/>
  <c r="S79" i="2"/>
  <c r="S76" i="2"/>
  <c r="S64" i="2"/>
  <c r="CY69" i="1"/>
  <c r="S60" i="2"/>
  <c r="S15" i="2"/>
  <c r="S36" i="2"/>
  <c r="S35" i="2"/>
  <c r="S12" i="2"/>
  <c r="S56" i="2"/>
  <c r="S27" i="2"/>
  <c r="S42" i="2"/>
  <c r="S39" i="2"/>
  <c r="S25" i="2"/>
  <c r="S68" i="2"/>
  <c r="S55" i="2"/>
  <c r="S62" i="2"/>
  <c r="S9" i="2"/>
  <c r="S51" i="2"/>
  <c r="S22" i="2"/>
  <c r="S47" i="2"/>
  <c r="S14" i="2"/>
  <c r="S6" i="2"/>
  <c r="CY44" i="1"/>
  <c r="CY59" i="1"/>
  <c r="CY91" i="1"/>
  <c r="CY7" i="1"/>
  <c r="CY84" i="1"/>
  <c r="CY35" i="1"/>
  <c r="CY60" i="1"/>
  <c r="CY92" i="1"/>
  <c r="CY15" i="1"/>
  <c r="CY83" i="1"/>
  <c r="CY76" i="1"/>
  <c r="CY63" i="1"/>
  <c r="CY68" i="1"/>
  <c r="CY11" i="1"/>
  <c r="CY55" i="1"/>
  <c r="CY87" i="1"/>
  <c r="CY71" i="1"/>
  <c r="CY51" i="1"/>
  <c r="CY27" i="1"/>
  <c r="CY20" i="1"/>
  <c r="CY12" i="1"/>
  <c r="CY43" i="1"/>
  <c r="CY36" i="1"/>
  <c r="CY19" i="1"/>
  <c r="CY28" i="1"/>
  <c r="AA100" i="2"/>
  <c r="AA101" i="2"/>
  <c r="AA102" i="2"/>
  <c r="Z103" i="2"/>
  <c r="AA103" i="2"/>
  <c r="H103" i="2"/>
  <c r="I103" i="2"/>
  <c r="H86" i="2"/>
  <c r="I86" i="2"/>
  <c r="H85" i="2"/>
  <c r="I85" i="2"/>
  <c r="H90" i="2"/>
  <c r="I90" i="2"/>
  <c r="I20" i="2"/>
  <c r="I42" i="2"/>
  <c r="I6" i="2"/>
  <c r="I21" i="2"/>
  <c r="I72" i="2"/>
  <c r="I88" i="2"/>
  <c r="I64" i="2"/>
  <c r="I33" i="2"/>
  <c r="I54" i="2"/>
  <c r="I40" i="2"/>
  <c r="I35" i="2"/>
  <c r="I104" i="2"/>
  <c r="I31" i="2"/>
  <c r="I30" i="2"/>
  <c r="I70" i="2"/>
  <c r="I34" i="2"/>
  <c r="I18" i="2"/>
  <c r="I16" i="2"/>
  <c r="I82" i="2"/>
  <c r="I27" i="2"/>
  <c r="I66" i="2"/>
  <c r="I73" i="2"/>
  <c r="I71" i="2"/>
  <c r="I75" i="2"/>
  <c r="I48" i="2"/>
  <c r="I28" i="2"/>
  <c r="I25" i="2"/>
  <c r="I58" i="2"/>
  <c r="I26" i="2"/>
  <c r="I5" i="2"/>
  <c r="I77" i="2"/>
  <c r="I19" i="2"/>
  <c r="I15" i="2"/>
  <c r="I8" i="2"/>
  <c r="I41" i="2"/>
  <c r="I46" i="2"/>
  <c r="I55" i="2"/>
  <c r="I63" i="2"/>
  <c r="I29" i="2"/>
  <c r="I23" i="2"/>
  <c r="I67" i="2"/>
  <c r="I80" i="2"/>
  <c r="I12" i="2"/>
  <c r="I51" i="2"/>
  <c r="I10" i="2"/>
  <c r="I65" i="2"/>
  <c r="I59" i="2"/>
  <c r="I45" i="2"/>
  <c r="I76" i="2"/>
  <c r="I13" i="2"/>
  <c r="I49" i="2"/>
  <c r="I11" i="2"/>
  <c r="I47" i="2"/>
  <c r="I50" i="2"/>
  <c r="I7" i="2"/>
  <c r="I32" i="2"/>
  <c r="I17" i="2"/>
  <c r="I52" i="2"/>
  <c r="I36" i="2"/>
  <c r="I74" i="2"/>
  <c r="I44" i="2"/>
  <c r="I14" i="2"/>
  <c r="I39" i="2"/>
  <c r="I56" i="2"/>
  <c r="I57" i="2"/>
  <c r="I81" i="2"/>
  <c r="I22" i="2"/>
  <c r="I24" i="2"/>
  <c r="I43" i="2"/>
  <c r="I38" i="2"/>
  <c r="I69" i="2"/>
  <c r="I105" i="2"/>
  <c r="I62" i="2"/>
  <c r="I9" i="2"/>
  <c r="I53" i="2"/>
  <c r="I37" i="2"/>
  <c r="I4" i="2"/>
  <c r="I93" i="2"/>
  <c r="I84" i="2"/>
  <c r="I91" i="2"/>
  <c r="I79" i="2"/>
  <c r="I87" i="2"/>
  <c r="I83" i="2"/>
  <c r="I78" i="2"/>
  <c r="I68" i="2"/>
  <c r="I89" i="2"/>
  <c r="I106" i="2"/>
  <c r="I94" i="2"/>
  <c r="I95" i="2"/>
  <c r="I60" i="2"/>
  <c r="I96" i="2"/>
  <c r="I61" i="2"/>
  <c r="I97" i="2"/>
  <c r="I98" i="2"/>
  <c r="I99" i="2"/>
  <c r="I100" i="2"/>
  <c r="I101" i="2"/>
  <c r="I102" i="2"/>
  <c r="I92" i="2"/>
  <c r="H20" i="2"/>
  <c r="H42" i="2"/>
  <c r="H6" i="2"/>
  <c r="H21" i="2"/>
  <c r="H72" i="2"/>
  <c r="H88" i="2"/>
  <c r="H64" i="2"/>
  <c r="H33" i="2"/>
  <c r="H54" i="2"/>
  <c r="H40" i="2"/>
  <c r="H35" i="2"/>
  <c r="H104" i="2"/>
  <c r="H31" i="2"/>
  <c r="H30" i="2"/>
  <c r="H70" i="2"/>
  <c r="H34" i="2"/>
  <c r="H18" i="2"/>
  <c r="H16" i="2"/>
  <c r="H82" i="2"/>
  <c r="H27" i="2"/>
  <c r="H66" i="2"/>
  <c r="H73" i="2"/>
  <c r="H71" i="2"/>
  <c r="H75" i="2"/>
  <c r="H48" i="2"/>
  <c r="H28" i="2"/>
  <c r="H25" i="2"/>
  <c r="H58" i="2"/>
  <c r="H26" i="2"/>
  <c r="H5" i="2"/>
  <c r="H77" i="2"/>
  <c r="H19" i="2"/>
  <c r="H15" i="2"/>
  <c r="H8" i="2"/>
  <c r="H41" i="2"/>
  <c r="H46" i="2"/>
  <c r="H55" i="2"/>
  <c r="H63" i="2"/>
  <c r="H29" i="2"/>
  <c r="H23" i="2"/>
  <c r="H67" i="2"/>
  <c r="H80" i="2"/>
  <c r="H12" i="2"/>
  <c r="H51" i="2"/>
  <c r="H10" i="2"/>
  <c r="H65" i="2"/>
  <c r="H59" i="2"/>
  <c r="H45" i="2"/>
  <c r="H76" i="2"/>
  <c r="H13" i="2"/>
  <c r="H49" i="2"/>
  <c r="H11" i="2"/>
  <c r="H47" i="2"/>
  <c r="H50" i="2"/>
  <c r="H7" i="2"/>
  <c r="H32" i="2"/>
  <c r="H17" i="2"/>
  <c r="H52" i="2"/>
  <c r="H36" i="2"/>
  <c r="H74" i="2"/>
  <c r="H44" i="2"/>
  <c r="H14" i="2"/>
  <c r="H39" i="2"/>
  <c r="H56" i="2"/>
  <c r="H57" i="2"/>
  <c r="H81" i="2"/>
  <c r="H22" i="2"/>
  <c r="H24" i="2"/>
  <c r="H43" i="2"/>
  <c r="H38" i="2"/>
  <c r="H69" i="2"/>
  <c r="H105" i="2"/>
  <c r="H62" i="2"/>
  <c r="H9" i="2"/>
  <c r="H53" i="2"/>
  <c r="H37" i="2"/>
  <c r="H4" i="2"/>
  <c r="H93" i="2"/>
  <c r="H84" i="2"/>
  <c r="H91" i="2"/>
  <c r="H79" i="2"/>
  <c r="H87" i="2"/>
  <c r="H83" i="2"/>
  <c r="H78" i="2"/>
  <c r="H68" i="2"/>
  <c r="H89" i="2"/>
  <c r="H106" i="2"/>
  <c r="H94" i="2"/>
  <c r="H95" i="2"/>
  <c r="H60" i="2"/>
  <c r="H96" i="2"/>
  <c r="H61" i="2"/>
  <c r="H97" i="2"/>
  <c r="H98" i="2"/>
  <c r="H99" i="2"/>
  <c r="H100" i="2"/>
  <c r="H101" i="2"/>
  <c r="H102" i="2"/>
  <c r="H92" i="2"/>
  <c r="N22" i="14"/>
  <c r="G23" i="2" s="1"/>
  <c r="N23" i="14"/>
  <c r="G60" i="2" s="1"/>
  <c r="N24" i="14"/>
  <c r="G101" i="2" s="1"/>
  <c r="N25" i="14"/>
  <c r="G24" i="2" s="1"/>
  <c r="N26" i="14"/>
  <c r="G105" i="2" s="1"/>
  <c r="N27" i="14"/>
  <c r="G9" i="2" s="1"/>
  <c r="N28" i="14"/>
  <c r="G41" i="2" s="1"/>
  <c r="N29" i="14"/>
  <c r="G18" i="2" s="1"/>
  <c r="N30" i="14"/>
  <c r="G12" i="2" s="1"/>
  <c r="N31" i="14"/>
  <c r="G51" i="2" s="1"/>
  <c r="N32" i="14"/>
  <c r="G28" i="2" s="1"/>
  <c r="N33" i="14"/>
  <c r="G39" i="2" s="1"/>
  <c r="N34" i="14"/>
  <c r="G11" i="2" s="1"/>
  <c r="N35" i="14"/>
  <c r="G20" i="2" s="1"/>
  <c r="N36" i="14"/>
  <c r="G32" i="2" s="1"/>
  <c r="N37" i="14"/>
  <c r="G35" i="2" s="1"/>
  <c r="N7" i="14"/>
  <c r="G103" i="2" s="1"/>
  <c r="N38" i="14"/>
  <c r="G50" i="2" s="1"/>
  <c r="N39" i="14"/>
  <c r="G94" i="2" s="1"/>
  <c r="N40" i="14"/>
  <c r="G99" i="2" s="1"/>
  <c r="N41" i="14"/>
  <c r="G43" i="2" s="1"/>
  <c r="N12" i="14"/>
  <c r="G70" i="2" s="1"/>
  <c r="N42" i="14"/>
  <c r="G74" i="2" s="1"/>
  <c r="N43" i="14"/>
  <c r="G98" i="2" s="1"/>
  <c r="N44" i="14"/>
  <c r="G5" i="2" s="1"/>
  <c r="N45" i="14"/>
  <c r="G76" i="2" s="1"/>
  <c r="N46" i="14"/>
  <c r="G44" i="2" s="1"/>
  <c r="N47" i="14"/>
  <c r="G4" i="2" s="1"/>
  <c r="N48" i="14"/>
  <c r="G14" i="2" s="1"/>
  <c r="N49" i="14"/>
  <c r="G97" i="2" s="1"/>
  <c r="N50" i="14"/>
  <c r="G6" i="2" s="1"/>
  <c r="N51" i="14"/>
  <c r="G47" i="2" s="1"/>
  <c r="N52" i="14"/>
  <c r="G36" i="2" s="1"/>
  <c r="N53" i="14"/>
  <c r="G79" i="2" s="1"/>
  <c r="N54" i="14"/>
  <c r="G22" i="2" s="1"/>
  <c r="N55" i="14"/>
  <c r="G37" i="2" s="1"/>
  <c r="N56" i="14"/>
  <c r="G42" i="2" s="1"/>
  <c r="N57" i="14"/>
  <c r="G81" i="2" s="1"/>
  <c r="N58" i="14"/>
  <c r="G52" i="2" s="1"/>
  <c r="N59" i="14"/>
  <c r="G13" i="2" s="1"/>
  <c r="N60" i="14"/>
  <c r="G100" i="2" s="1"/>
  <c r="N61" i="14"/>
  <c r="G96" i="2" s="1"/>
  <c r="N62" i="14"/>
  <c r="G25" i="2" s="1"/>
  <c r="N63" i="14"/>
  <c r="G38" i="2" s="1"/>
  <c r="N64" i="14"/>
  <c r="G21" i="2" s="1"/>
  <c r="N65" i="14"/>
  <c r="G102" i="2" s="1"/>
  <c r="N66" i="14"/>
  <c r="G15" i="2" s="1"/>
  <c r="N67" i="14"/>
  <c r="G61" i="2" s="1"/>
  <c r="N68" i="14"/>
  <c r="G10" i="2" s="1"/>
  <c r="N69" i="14"/>
  <c r="G7" i="2" s="1"/>
  <c r="N70" i="14"/>
  <c r="G67" i="2" s="1"/>
  <c r="N18" i="14"/>
  <c r="G95" i="2" s="1"/>
  <c r="N71" i="14"/>
  <c r="G33" i="2" s="1"/>
  <c r="N72" i="14"/>
  <c r="G80" i="2" s="1"/>
  <c r="N73" i="14"/>
  <c r="G19" i="2" s="1"/>
  <c r="N74" i="14"/>
  <c r="G45" i="2" s="1"/>
  <c r="N75" i="14"/>
  <c r="G31" i="2" s="1"/>
  <c r="N76" i="14"/>
  <c r="N77" i="14"/>
  <c r="G58" i="2" s="1"/>
  <c r="N13" i="14"/>
  <c r="G27" i="2" s="1"/>
  <c r="N78" i="14"/>
  <c r="G82" i="2" s="1"/>
  <c r="N79" i="14"/>
  <c r="N80" i="14"/>
  <c r="N19" i="14"/>
  <c r="G77" i="2" s="1"/>
  <c r="N81" i="14"/>
  <c r="G49" i="2" s="1"/>
  <c r="N9" i="14"/>
  <c r="G63" i="2" s="1"/>
  <c r="N14" i="14"/>
  <c r="G17" i="2" s="1"/>
  <c r="N8" i="14"/>
  <c r="G40" i="2" s="1"/>
  <c r="N82" i="14"/>
  <c r="G30" i="2" s="1"/>
  <c r="N83" i="14"/>
  <c r="G34" i="2" s="1"/>
  <c r="N20" i="14"/>
  <c r="G69" i="2" s="1"/>
  <c r="N84" i="14"/>
  <c r="G66" i="2" s="1"/>
  <c r="N85" i="14"/>
  <c r="G65" i="2" s="1"/>
  <c r="N15" i="14"/>
  <c r="G26" i="2" s="1"/>
  <c r="N86" i="14"/>
  <c r="G56" i="2" s="1"/>
  <c r="N87" i="14"/>
  <c r="G72" i="2" s="1"/>
  <c r="N88" i="14"/>
  <c r="G104" i="2" s="1"/>
  <c r="N89" i="14"/>
  <c r="G48" i="2" s="1"/>
  <c r="N90" i="14"/>
  <c r="G54" i="2" s="1"/>
  <c r="N91" i="14"/>
  <c r="G16" i="2" s="1"/>
  <c r="N92" i="14"/>
  <c r="G73" i="2" s="1"/>
  <c r="N21" i="14"/>
  <c r="G59" i="2" s="1"/>
  <c r="N93" i="14"/>
  <c r="G71" i="2" s="1"/>
  <c r="N94" i="14"/>
  <c r="N95" i="14"/>
  <c r="G29" i="2" s="1"/>
  <c r="N96" i="14"/>
  <c r="G46" i="2" s="1"/>
  <c r="N97" i="14"/>
  <c r="G55" i="2" s="1"/>
  <c r="N106" i="14"/>
  <c r="N98" i="14"/>
  <c r="G8" i="2" s="1"/>
  <c r="N99" i="14"/>
  <c r="G53" i="2" s="1"/>
  <c r="N100" i="14"/>
  <c r="G75" i="2" s="1"/>
  <c r="N101" i="14"/>
  <c r="G106" i="2" s="1"/>
  <c r="N16" i="14"/>
  <c r="G84" i="2" s="1"/>
  <c r="N10" i="14"/>
  <c r="G88" i="2" s="1"/>
  <c r="N102" i="14"/>
  <c r="G91" i="2" s="1"/>
  <c r="N103" i="14"/>
  <c r="G87" i="2" s="1"/>
  <c r="N11" i="14"/>
  <c r="G83" i="2" s="1"/>
  <c r="N104" i="14"/>
  <c r="G78" i="2" s="1"/>
  <c r="N105" i="14"/>
  <c r="G68" i="2" s="1"/>
  <c r="N17" i="14"/>
  <c r="G89" i="2" s="1"/>
  <c r="N5" i="14"/>
  <c r="G86" i="2" s="1"/>
  <c r="N6" i="14"/>
  <c r="G85" i="2" s="1"/>
  <c r="N4" i="14"/>
  <c r="G90" i="2" s="1"/>
  <c r="J22" i="14"/>
  <c r="J23" i="2" s="1" a="1"/>
  <c r="J23" i="2" s="1"/>
  <c r="J23" i="14"/>
  <c r="J60" i="2" s="1" a="1"/>
  <c r="J60" i="2" s="1"/>
  <c r="J24" i="14"/>
  <c r="J101" i="2" s="1" a="1"/>
  <c r="J101" i="2" s="1"/>
  <c r="J25" i="14"/>
  <c r="J24" i="2" s="1" a="1"/>
  <c r="J24" i="2" s="1"/>
  <c r="J26" i="14"/>
  <c r="J105" i="2" s="1" a="1"/>
  <c r="J105" i="2" s="1"/>
  <c r="J27" i="14"/>
  <c r="J9" i="2" s="1" a="1"/>
  <c r="J9" i="2" s="1"/>
  <c r="J28" i="14"/>
  <c r="J41" i="2" s="1" a="1"/>
  <c r="J41" i="2" s="1"/>
  <c r="J29" i="14"/>
  <c r="J18" i="2" s="1" a="1"/>
  <c r="J18" i="2" s="1"/>
  <c r="J30" i="14"/>
  <c r="J12" i="2" s="1" a="1"/>
  <c r="J12" i="2" s="1"/>
  <c r="J31" i="14"/>
  <c r="J51" i="2" s="1" a="1"/>
  <c r="J51" i="2" s="1"/>
  <c r="J32" i="14"/>
  <c r="J28" i="2" s="1" a="1"/>
  <c r="J28" i="2" s="1"/>
  <c r="J33" i="14"/>
  <c r="J39" i="2" s="1" a="1"/>
  <c r="J39" i="2" s="1"/>
  <c r="J34" i="14"/>
  <c r="J11" i="2" s="1" a="1"/>
  <c r="J11" i="2" s="1"/>
  <c r="J35" i="14"/>
  <c r="J20" i="2" s="1" a="1"/>
  <c r="J20" i="2" s="1"/>
  <c r="J36" i="14"/>
  <c r="J37" i="14"/>
  <c r="J35" i="2" s="1" a="1"/>
  <c r="J35" i="2" s="1"/>
  <c r="J7" i="14"/>
  <c r="J103" i="2" s="1" a="1"/>
  <c r="J103" i="2" s="1"/>
  <c r="J38" i="14"/>
  <c r="J50" i="2" s="1" a="1"/>
  <c r="J50" i="2" s="1"/>
  <c r="J39" i="14"/>
  <c r="J94" i="2" s="1" a="1"/>
  <c r="J94" i="2" s="1"/>
  <c r="J40" i="14"/>
  <c r="J99" i="2" s="1" a="1"/>
  <c r="J99" i="2" s="1"/>
  <c r="J41" i="14"/>
  <c r="J43" i="2" s="1" a="1"/>
  <c r="J43" i="2" s="1"/>
  <c r="J12" i="14"/>
  <c r="J70" i="2" s="1" a="1"/>
  <c r="J70" i="2" s="1"/>
  <c r="J42" i="14"/>
  <c r="J74" i="2" s="1" a="1"/>
  <c r="J74" i="2" s="1"/>
  <c r="J43" i="14"/>
  <c r="J98" i="2" s="1" a="1"/>
  <c r="J98" i="2" s="1"/>
  <c r="J44" i="14"/>
  <c r="J5" i="2" s="1" a="1"/>
  <c r="J5" i="2" s="1"/>
  <c r="J45" i="14"/>
  <c r="J76" i="2" s="1" a="1"/>
  <c r="J76" i="2" s="1"/>
  <c r="J46" i="14"/>
  <c r="J44" i="2" s="1" a="1"/>
  <c r="J44" i="2" s="1"/>
  <c r="J47" i="14"/>
  <c r="J4" i="2" s="1" a="1"/>
  <c r="J4" i="2" s="1"/>
  <c r="J48" i="14"/>
  <c r="J14" i="2" s="1" a="1"/>
  <c r="J14" i="2" s="1"/>
  <c r="J49" i="14"/>
  <c r="J97" i="2" s="1" a="1"/>
  <c r="J97" i="2" s="1"/>
  <c r="J50" i="14"/>
  <c r="J6" i="2" s="1" a="1"/>
  <c r="J6" i="2" s="1"/>
  <c r="J51" i="14"/>
  <c r="J47" i="2" s="1" a="1"/>
  <c r="J47" i="2" s="1"/>
  <c r="J52" i="14"/>
  <c r="J36" i="2" s="1" a="1"/>
  <c r="J36" i="2" s="1"/>
  <c r="J53" i="14"/>
  <c r="J79" i="2" s="1" a="1"/>
  <c r="J79" i="2" s="1"/>
  <c r="J54" i="14"/>
  <c r="J22" i="2" s="1" a="1"/>
  <c r="J22" i="2" s="1"/>
  <c r="J55" i="14"/>
  <c r="J37" i="2" s="1" a="1"/>
  <c r="J37" i="2" s="1"/>
  <c r="J56" i="14"/>
  <c r="J42" i="2" s="1" a="1"/>
  <c r="J42" i="2" s="1"/>
  <c r="J57" i="14"/>
  <c r="J81" i="2" s="1" a="1"/>
  <c r="J81" i="2" s="1"/>
  <c r="J58" i="14"/>
  <c r="J52" i="2" s="1" a="1"/>
  <c r="J52" i="2" s="1"/>
  <c r="J59" i="14"/>
  <c r="J13" i="2" s="1" a="1"/>
  <c r="J13" i="2" s="1"/>
  <c r="J60" i="14"/>
  <c r="J100" i="2" s="1" a="1"/>
  <c r="J100" i="2" s="1"/>
  <c r="J61" i="14"/>
  <c r="J96" i="2" s="1" a="1"/>
  <c r="J96" i="2" s="1"/>
  <c r="J62" i="14"/>
  <c r="J25" i="2" s="1" a="1"/>
  <c r="J25" i="2" s="1"/>
  <c r="J63" i="14"/>
  <c r="J38" i="2" s="1" a="1"/>
  <c r="J38" i="2" s="1"/>
  <c r="J64" i="14"/>
  <c r="J21" i="2" s="1" a="1"/>
  <c r="J21" i="2" s="1"/>
  <c r="J65" i="14"/>
  <c r="J102" i="2" s="1" a="1"/>
  <c r="J102" i="2" s="1"/>
  <c r="J66" i="14"/>
  <c r="J15" i="2" s="1" a="1"/>
  <c r="J15" i="2" s="1"/>
  <c r="J67" i="14"/>
  <c r="J61" i="2" s="1" a="1"/>
  <c r="J61" i="2" s="1"/>
  <c r="J68" i="14"/>
  <c r="J10" i="2" s="1" a="1"/>
  <c r="J10" i="2" s="1"/>
  <c r="J69" i="14"/>
  <c r="J7" i="2" s="1" a="1"/>
  <c r="J7" i="2" s="1"/>
  <c r="J70" i="14"/>
  <c r="J67" i="2" s="1" a="1"/>
  <c r="J67" i="2" s="1"/>
  <c r="J18" i="14"/>
  <c r="J95" i="2" s="1" a="1"/>
  <c r="J95" i="2" s="1"/>
  <c r="J71" i="14"/>
  <c r="J33" i="2" s="1" a="1"/>
  <c r="J33" i="2" s="1"/>
  <c r="J72" i="14"/>
  <c r="J80" i="2" s="1" a="1"/>
  <c r="J80" i="2" s="1"/>
  <c r="J73" i="14"/>
  <c r="J19" i="2" s="1" a="1"/>
  <c r="J19" i="2" s="1"/>
  <c r="J74" i="14"/>
  <c r="J45" i="2" s="1" a="1"/>
  <c r="J45" i="2" s="1"/>
  <c r="J75" i="14"/>
  <c r="J31" i="2" s="1" a="1"/>
  <c r="J31" i="2" s="1"/>
  <c r="J76" i="14"/>
  <c r="J77" i="14"/>
  <c r="J58" i="2" s="1" a="1"/>
  <c r="J58" i="2" s="1"/>
  <c r="J13" i="14"/>
  <c r="J27" i="2" s="1" a="1"/>
  <c r="J27" i="2" s="1"/>
  <c r="J78" i="14"/>
  <c r="J82" i="2" s="1" a="1"/>
  <c r="J82" i="2" s="1"/>
  <c r="J79" i="14"/>
  <c r="J3" i="2" s="1" a="1"/>
  <c r="J3" i="2" s="1"/>
  <c r="J80" i="14"/>
  <c r="J92" i="2" s="1" a="1"/>
  <c r="J92" i="2" s="1"/>
  <c r="J19" i="14"/>
  <c r="J77" i="2" s="1" a="1"/>
  <c r="J77" i="2" s="1"/>
  <c r="J81" i="14"/>
  <c r="J49" i="2" s="1" a="1"/>
  <c r="J49" i="2" s="1"/>
  <c r="J9" i="14"/>
  <c r="J63" i="2" s="1" a="1"/>
  <c r="J63" i="2" s="1"/>
  <c r="J14" i="14"/>
  <c r="J17" i="2" s="1" a="1"/>
  <c r="J17" i="2" s="1"/>
  <c r="J8" i="14"/>
  <c r="J40" i="2" s="1" a="1"/>
  <c r="J40" i="2" s="1"/>
  <c r="J82" i="14"/>
  <c r="J30" i="2" s="1" a="1"/>
  <c r="J30" i="2" s="1"/>
  <c r="J83" i="14"/>
  <c r="J34" i="2" s="1" a="1"/>
  <c r="J34" i="2" s="1"/>
  <c r="J20" i="14"/>
  <c r="J69" i="2" s="1" a="1"/>
  <c r="J69" i="2" s="1"/>
  <c r="J84" i="14"/>
  <c r="J66" i="2" s="1" a="1"/>
  <c r="J66" i="2" s="1"/>
  <c r="J85" i="14"/>
  <c r="J65" i="2" s="1" a="1"/>
  <c r="J65" i="2" s="1"/>
  <c r="J15" i="14"/>
  <c r="J26" i="2" s="1" a="1"/>
  <c r="J26" i="2" s="1"/>
  <c r="J86" i="14"/>
  <c r="J87" i="14"/>
  <c r="J72" i="2" s="1" a="1"/>
  <c r="J72" i="2" s="1"/>
  <c r="J88" i="14"/>
  <c r="J104" i="2" s="1" a="1"/>
  <c r="J104" i="2" s="1"/>
  <c r="J89" i="14"/>
  <c r="J48" i="2" s="1" a="1"/>
  <c r="J48" i="2" s="1"/>
  <c r="J90" i="14"/>
  <c r="J54" i="2" s="1" a="1"/>
  <c r="J54" i="2" s="1"/>
  <c r="J91" i="14"/>
  <c r="J16" i="2" s="1" a="1"/>
  <c r="J16" i="2" s="1"/>
  <c r="J92" i="14"/>
  <c r="J73" i="2" s="1" a="1"/>
  <c r="J73" i="2" s="1"/>
  <c r="J21" i="14"/>
  <c r="J59" i="2" s="1" a="1"/>
  <c r="J59" i="2" s="1"/>
  <c r="J93" i="14"/>
  <c r="J71" i="2" s="1" a="1"/>
  <c r="J71" i="2" s="1"/>
  <c r="J94" i="14"/>
  <c r="J95" i="14"/>
  <c r="J29" i="2" s="1" a="1"/>
  <c r="J29" i="2" s="1"/>
  <c r="J96" i="14"/>
  <c r="J46" i="2" s="1" a="1"/>
  <c r="J46" i="2" s="1"/>
  <c r="J97" i="14"/>
  <c r="J55" i="2" s="1" a="1"/>
  <c r="J55" i="2" s="1"/>
  <c r="J106" i="14"/>
  <c r="J98" i="14"/>
  <c r="J8" i="2" s="1" a="1"/>
  <c r="J8" i="2" s="1"/>
  <c r="J99" i="14"/>
  <c r="J53" i="2" s="1" a="1"/>
  <c r="J53" i="2" s="1"/>
  <c r="J100" i="14"/>
  <c r="J75" i="2" s="1" a="1"/>
  <c r="J75" i="2" s="1"/>
  <c r="J101" i="14"/>
  <c r="J106" i="2" s="1" a="1"/>
  <c r="J106" i="2" s="1"/>
  <c r="J16" i="14"/>
  <c r="J84" i="2" s="1" a="1"/>
  <c r="J84" i="2" s="1"/>
  <c r="J10" i="14"/>
  <c r="J88" i="2" s="1" a="1"/>
  <c r="J88" i="2" s="1"/>
  <c r="J102" i="14"/>
  <c r="J91" i="2" s="1" a="1"/>
  <c r="J91" i="2" s="1"/>
  <c r="J103" i="14"/>
  <c r="J87" i="2" s="1" a="1"/>
  <c r="J87" i="2" s="1"/>
  <c r="J11" i="14"/>
  <c r="J83" i="2" s="1" a="1"/>
  <c r="J83" i="2" s="1"/>
  <c r="J104" i="14"/>
  <c r="J78" i="2" s="1" a="1"/>
  <c r="J78" i="2" s="1"/>
  <c r="J105" i="14"/>
  <c r="J68" i="2" s="1" a="1"/>
  <c r="J68" i="2" s="1"/>
  <c r="J17" i="14"/>
  <c r="J89" i="2" s="1" a="1"/>
  <c r="J89" i="2" s="1"/>
  <c r="J5" i="14"/>
  <c r="J86" i="2" s="1" a="1"/>
  <c r="J86" i="2" s="1"/>
  <c r="J6" i="14"/>
  <c r="J85" i="2" s="1" a="1"/>
  <c r="J85" i="2" s="1"/>
  <c r="J4" i="14"/>
  <c r="J90" i="2" s="1" a="1"/>
  <c r="J90" i="2" s="1"/>
  <c r="H22" i="14"/>
  <c r="H23" i="14"/>
  <c r="H24" i="14"/>
  <c r="H25" i="14"/>
  <c r="H26" i="14"/>
  <c r="H27" i="14"/>
  <c r="H28" i="14"/>
  <c r="H29" i="14"/>
  <c r="H30" i="14"/>
  <c r="H31" i="14"/>
  <c r="H32" i="14"/>
  <c r="H33" i="14"/>
  <c r="H34" i="14"/>
  <c r="H35" i="14"/>
  <c r="H36" i="14"/>
  <c r="H37" i="14"/>
  <c r="H7" i="14"/>
  <c r="H38" i="14"/>
  <c r="H39" i="14"/>
  <c r="H40" i="14"/>
  <c r="H41" i="14"/>
  <c r="H12" i="14"/>
  <c r="H42" i="14"/>
  <c r="H43" i="14"/>
  <c r="H44" i="14"/>
  <c r="H45" i="14"/>
  <c r="H46" i="14"/>
  <c r="H47" i="14"/>
  <c r="H48" i="14"/>
  <c r="H49" i="14"/>
  <c r="H50" i="14"/>
  <c r="H51" i="14"/>
  <c r="H52" i="14"/>
  <c r="H53" i="14"/>
  <c r="H54" i="14"/>
  <c r="H55" i="14"/>
  <c r="H56" i="14"/>
  <c r="H57" i="14"/>
  <c r="H58" i="14"/>
  <c r="H59" i="14"/>
  <c r="H60" i="14"/>
  <c r="H61" i="14"/>
  <c r="H62" i="14"/>
  <c r="H63" i="14"/>
  <c r="H64" i="14"/>
  <c r="H65" i="14"/>
  <c r="H66" i="14"/>
  <c r="H67" i="14"/>
  <c r="H68" i="14"/>
  <c r="H69" i="14"/>
  <c r="H70" i="14"/>
  <c r="H18" i="14"/>
  <c r="H71" i="14"/>
  <c r="H72" i="14"/>
  <c r="H73" i="14"/>
  <c r="H74" i="14"/>
  <c r="H75" i="14"/>
  <c r="H76" i="14"/>
  <c r="H77" i="14"/>
  <c r="H13" i="14"/>
  <c r="H78" i="14"/>
  <c r="H79" i="14"/>
  <c r="H80" i="14"/>
  <c r="H19" i="14"/>
  <c r="H81" i="14"/>
  <c r="H9" i="14"/>
  <c r="H14" i="14"/>
  <c r="H8" i="14"/>
  <c r="H82" i="14"/>
  <c r="H83" i="14"/>
  <c r="H20" i="14"/>
  <c r="H84" i="14"/>
  <c r="H85" i="14"/>
  <c r="H15" i="14"/>
  <c r="H86" i="14"/>
  <c r="H87" i="14"/>
  <c r="H88" i="14"/>
  <c r="H89" i="14"/>
  <c r="H90" i="14"/>
  <c r="H91" i="14"/>
  <c r="H92" i="14"/>
  <c r="H21" i="14"/>
  <c r="H93" i="14"/>
  <c r="H94" i="14"/>
  <c r="H95" i="14"/>
  <c r="H96" i="14"/>
  <c r="H97" i="14"/>
  <c r="H106" i="14"/>
  <c r="H98" i="14"/>
  <c r="H99" i="14"/>
  <c r="H100" i="14"/>
  <c r="H101" i="14"/>
  <c r="H16" i="14"/>
  <c r="H10" i="14"/>
  <c r="H102" i="14"/>
  <c r="H103" i="14"/>
  <c r="H11" i="14"/>
  <c r="H104" i="14"/>
  <c r="H105" i="14"/>
  <c r="H17" i="14"/>
  <c r="H5" i="14"/>
  <c r="H6" i="14"/>
  <c r="H4" i="14"/>
  <c r="G22" i="14"/>
  <c r="G23" i="14"/>
  <c r="G24" i="14"/>
  <c r="G25" i="14"/>
  <c r="G26" i="14"/>
  <c r="G27" i="14"/>
  <c r="G28" i="14"/>
  <c r="G29" i="14"/>
  <c r="G30" i="14"/>
  <c r="G31" i="14"/>
  <c r="G32" i="14"/>
  <c r="G33" i="14"/>
  <c r="G34" i="14"/>
  <c r="G35" i="14"/>
  <c r="G36" i="14"/>
  <c r="G37" i="14"/>
  <c r="G7" i="14"/>
  <c r="G38" i="14"/>
  <c r="G39" i="14"/>
  <c r="G40" i="14"/>
  <c r="G41" i="14"/>
  <c r="G12" i="14"/>
  <c r="G42" i="14"/>
  <c r="G43" i="14"/>
  <c r="G44" i="14"/>
  <c r="G45" i="14"/>
  <c r="G46" i="14"/>
  <c r="G47" i="14"/>
  <c r="G48" i="14"/>
  <c r="G49" i="14"/>
  <c r="G50" i="14"/>
  <c r="G51" i="14"/>
  <c r="G52" i="14"/>
  <c r="G53" i="14"/>
  <c r="G54" i="14"/>
  <c r="G55" i="14"/>
  <c r="G56" i="14"/>
  <c r="G57" i="14"/>
  <c r="G58" i="14"/>
  <c r="G59" i="14"/>
  <c r="G60" i="14"/>
  <c r="G61" i="14"/>
  <c r="G62" i="14"/>
  <c r="G63" i="14"/>
  <c r="G64" i="14"/>
  <c r="G65" i="14"/>
  <c r="G66" i="14"/>
  <c r="G67" i="14"/>
  <c r="G68" i="14"/>
  <c r="G69" i="14"/>
  <c r="G70" i="14"/>
  <c r="G18" i="14"/>
  <c r="G71" i="14"/>
  <c r="G72" i="14"/>
  <c r="G73" i="14"/>
  <c r="G74" i="14"/>
  <c r="G75" i="14"/>
  <c r="G76" i="14"/>
  <c r="G77" i="14"/>
  <c r="G13" i="14"/>
  <c r="G78" i="14"/>
  <c r="G79" i="14"/>
  <c r="G80" i="14"/>
  <c r="G19" i="14"/>
  <c r="G81" i="14"/>
  <c r="G9" i="14"/>
  <c r="G14" i="14"/>
  <c r="G8" i="14"/>
  <c r="G82" i="14"/>
  <c r="G83" i="14"/>
  <c r="G20" i="14"/>
  <c r="G84" i="14"/>
  <c r="G85" i="14"/>
  <c r="G15" i="14"/>
  <c r="G86" i="14"/>
  <c r="G87" i="14"/>
  <c r="G88" i="14"/>
  <c r="G89" i="14"/>
  <c r="G90" i="14"/>
  <c r="G91" i="14"/>
  <c r="G92" i="14"/>
  <c r="G21" i="14"/>
  <c r="G93" i="14"/>
  <c r="G94" i="14"/>
  <c r="G95" i="14"/>
  <c r="G96" i="14"/>
  <c r="G97" i="14"/>
  <c r="G106" i="14"/>
  <c r="G98" i="14"/>
  <c r="G99" i="14"/>
  <c r="G100" i="14"/>
  <c r="G101" i="14"/>
  <c r="G16" i="14"/>
  <c r="G10" i="14"/>
  <c r="G102" i="14"/>
  <c r="G103" i="14"/>
  <c r="G11" i="14"/>
  <c r="G104" i="14"/>
  <c r="G105" i="14"/>
  <c r="G17" i="14"/>
  <c r="G5" i="14"/>
  <c r="G6" i="14"/>
  <c r="G4" i="14"/>
  <c r="F22" i="14"/>
  <c r="F23" i="14"/>
  <c r="F24" i="14"/>
  <c r="F25" i="14"/>
  <c r="F26" i="14"/>
  <c r="F27" i="14"/>
  <c r="F28" i="14"/>
  <c r="F29" i="14"/>
  <c r="F30" i="14"/>
  <c r="F31" i="14"/>
  <c r="F32" i="14"/>
  <c r="F33" i="14"/>
  <c r="F34" i="14"/>
  <c r="F35" i="14"/>
  <c r="F36" i="14"/>
  <c r="F37" i="14"/>
  <c r="F7" i="14"/>
  <c r="F38" i="14"/>
  <c r="F39" i="14"/>
  <c r="F40" i="14"/>
  <c r="F41" i="14"/>
  <c r="F12" i="14"/>
  <c r="F42" i="14"/>
  <c r="F43" i="14"/>
  <c r="F44" i="14"/>
  <c r="F45" i="14"/>
  <c r="F46" i="14"/>
  <c r="F47" i="14"/>
  <c r="F48" i="14"/>
  <c r="F49" i="14"/>
  <c r="F50" i="14"/>
  <c r="F51" i="14"/>
  <c r="F52" i="14"/>
  <c r="F53" i="14"/>
  <c r="F54" i="14"/>
  <c r="F55" i="14"/>
  <c r="F56" i="14"/>
  <c r="F57" i="14"/>
  <c r="F58" i="14"/>
  <c r="F59" i="14"/>
  <c r="F60" i="14"/>
  <c r="F61" i="14"/>
  <c r="F62" i="14"/>
  <c r="F63" i="14"/>
  <c r="F64" i="14"/>
  <c r="F65" i="14"/>
  <c r="F66" i="14"/>
  <c r="F67" i="14"/>
  <c r="F68" i="14"/>
  <c r="F69" i="14"/>
  <c r="F70" i="14"/>
  <c r="F18" i="14"/>
  <c r="F71" i="14"/>
  <c r="F72" i="14"/>
  <c r="F73" i="14"/>
  <c r="F74" i="14"/>
  <c r="F75" i="14"/>
  <c r="F76" i="14"/>
  <c r="F77" i="14"/>
  <c r="F13" i="14"/>
  <c r="F78" i="14"/>
  <c r="F79" i="14"/>
  <c r="F80" i="14"/>
  <c r="F19" i="14"/>
  <c r="F81" i="14"/>
  <c r="F9" i="14"/>
  <c r="F14" i="14"/>
  <c r="F8" i="14"/>
  <c r="F82" i="14"/>
  <c r="F83" i="14"/>
  <c r="F20" i="14"/>
  <c r="F84" i="14"/>
  <c r="F85" i="14"/>
  <c r="F15" i="14"/>
  <c r="F86" i="14"/>
  <c r="F87" i="14"/>
  <c r="F88" i="14"/>
  <c r="F89" i="14"/>
  <c r="F90" i="14"/>
  <c r="F91" i="14"/>
  <c r="F92" i="14"/>
  <c r="F21" i="14"/>
  <c r="F93" i="14"/>
  <c r="F94" i="14"/>
  <c r="F95" i="14"/>
  <c r="F96" i="14"/>
  <c r="F97" i="14"/>
  <c r="F106" i="14"/>
  <c r="F98" i="14"/>
  <c r="F99" i="14"/>
  <c r="F100" i="14"/>
  <c r="F101" i="14"/>
  <c r="F16" i="14"/>
  <c r="F10" i="14"/>
  <c r="F102" i="14"/>
  <c r="F103" i="14"/>
  <c r="F11" i="14"/>
  <c r="F104" i="14"/>
  <c r="F105" i="14"/>
  <c r="F17" i="14"/>
  <c r="F5" i="14"/>
  <c r="F6" i="14"/>
  <c r="F4" i="14"/>
  <c r="E22" i="14"/>
  <c r="E23" i="14"/>
  <c r="E24" i="14"/>
  <c r="E25" i="14"/>
  <c r="E26" i="14"/>
  <c r="E27" i="14"/>
  <c r="E28" i="14"/>
  <c r="E29" i="14"/>
  <c r="E30" i="14"/>
  <c r="E31" i="14"/>
  <c r="E32" i="14"/>
  <c r="E33" i="14"/>
  <c r="E34" i="14"/>
  <c r="E35" i="14"/>
  <c r="E36" i="14"/>
  <c r="E37" i="14"/>
  <c r="E7" i="14"/>
  <c r="E38" i="14"/>
  <c r="E39" i="14"/>
  <c r="E40" i="14"/>
  <c r="E41" i="14"/>
  <c r="E12" i="14"/>
  <c r="E42" i="14"/>
  <c r="E43" i="14"/>
  <c r="E44" i="14"/>
  <c r="E45" i="14"/>
  <c r="E46" i="14"/>
  <c r="E47" i="14"/>
  <c r="E48" i="14"/>
  <c r="E49" i="14"/>
  <c r="E50" i="14"/>
  <c r="E51" i="14"/>
  <c r="E52" i="14"/>
  <c r="E53" i="14"/>
  <c r="E54" i="14"/>
  <c r="E55" i="14"/>
  <c r="E56" i="14"/>
  <c r="E57" i="14"/>
  <c r="E58" i="14"/>
  <c r="E59" i="14"/>
  <c r="E60" i="14"/>
  <c r="E61" i="14"/>
  <c r="E62" i="14"/>
  <c r="E63" i="14"/>
  <c r="E64" i="14"/>
  <c r="E65" i="14"/>
  <c r="E66" i="14"/>
  <c r="E67" i="14"/>
  <c r="E68" i="14"/>
  <c r="E69" i="14"/>
  <c r="E70" i="14"/>
  <c r="E18" i="14"/>
  <c r="E71" i="14"/>
  <c r="E72" i="14"/>
  <c r="E73" i="14"/>
  <c r="E74" i="14"/>
  <c r="E75" i="14"/>
  <c r="E76" i="14"/>
  <c r="E77" i="14"/>
  <c r="E13" i="14"/>
  <c r="E78" i="14"/>
  <c r="E79" i="14"/>
  <c r="E80" i="14"/>
  <c r="E19" i="14"/>
  <c r="E81" i="14"/>
  <c r="E9" i="14"/>
  <c r="E14" i="14"/>
  <c r="E8" i="14"/>
  <c r="E82" i="14"/>
  <c r="E83" i="14"/>
  <c r="E20" i="14"/>
  <c r="E84" i="14"/>
  <c r="E85" i="14"/>
  <c r="E15" i="14"/>
  <c r="E86" i="14"/>
  <c r="E87" i="14"/>
  <c r="E88" i="14"/>
  <c r="E89" i="14"/>
  <c r="E90" i="14"/>
  <c r="E91" i="14"/>
  <c r="E92" i="14"/>
  <c r="E21" i="14"/>
  <c r="E93" i="14"/>
  <c r="E94" i="14"/>
  <c r="E95" i="14"/>
  <c r="E96" i="14"/>
  <c r="E97" i="14"/>
  <c r="E106" i="14"/>
  <c r="E98" i="14"/>
  <c r="E99" i="14"/>
  <c r="E100" i="14"/>
  <c r="E101" i="14"/>
  <c r="E16" i="14"/>
  <c r="E10" i="14"/>
  <c r="E102" i="14"/>
  <c r="E103" i="14"/>
  <c r="E11" i="14"/>
  <c r="E104" i="14"/>
  <c r="E105" i="14"/>
  <c r="E17" i="14"/>
  <c r="E5" i="14"/>
  <c r="E6" i="14"/>
  <c r="E4" i="14"/>
  <c r="AA69" i="2"/>
  <c r="AA70" i="2"/>
  <c r="AA86" i="2"/>
  <c r="AA83" i="2"/>
  <c r="AA104" i="2"/>
  <c r="AA105" i="2"/>
  <c r="AA106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84" i="2"/>
  <c r="AA19" i="2"/>
  <c r="AA20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38" i="2"/>
  <c r="AA39" i="2"/>
  <c r="AA40" i="2"/>
  <c r="AA85" i="2"/>
  <c r="AA41" i="2"/>
  <c r="AA42" i="2"/>
  <c r="AA43" i="2"/>
  <c r="AA44" i="2"/>
  <c r="AA45" i="2"/>
  <c r="AA46" i="2"/>
  <c r="AA47" i="2"/>
  <c r="AA48" i="2"/>
  <c r="AA49" i="2"/>
  <c r="AA50" i="2"/>
  <c r="AA51" i="2"/>
  <c r="AA52" i="2"/>
  <c r="AA53" i="2"/>
  <c r="AA54" i="2"/>
  <c r="AA55" i="2"/>
  <c r="AA56" i="2"/>
  <c r="AA57" i="2"/>
  <c r="AA58" i="2"/>
  <c r="AA59" i="2"/>
  <c r="AA87" i="2"/>
  <c r="AA60" i="2"/>
  <c r="AA61" i="2"/>
  <c r="AA62" i="2"/>
  <c r="AA63" i="2"/>
  <c r="AA64" i="2"/>
  <c r="AA65" i="2"/>
  <c r="AA66" i="2"/>
  <c r="AA67" i="2"/>
  <c r="AA68" i="2"/>
  <c r="AA78" i="2"/>
  <c r="AA88" i="2"/>
  <c r="AA79" i="2"/>
  <c r="AA80" i="2"/>
  <c r="AA71" i="2"/>
  <c r="AA72" i="2"/>
  <c r="AA73" i="2"/>
  <c r="AA74" i="2"/>
  <c r="AA82" i="2"/>
  <c r="Z90" i="2"/>
  <c r="AA90" i="2"/>
  <c r="AA75" i="2"/>
  <c r="AA76" i="2"/>
  <c r="Z91" i="2"/>
  <c r="AA91" i="2"/>
  <c r="AA77" i="2"/>
  <c r="AA81" i="2"/>
  <c r="AA93" i="2"/>
  <c r="AA94" i="2"/>
  <c r="AA95" i="2"/>
  <c r="AA96" i="2"/>
  <c r="AA97" i="2"/>
  <c r="AA98" i="2"/>
  <c r="AA99" i="2"/>
  <c r="Z92" i="2"/>
  <c r="AA92" i="2"/>
  <c r="AA89" i="2"/>
  <c r="J56" i="2" l="1" a="1"/>
  <c r="J56" i="2" s="1"/>
  <c r="J57" i="2" a="1"/>
  <c r="J57" i="2" s="1"/>
  <c r="O57" i="2" s="1"/>
  <c r="J32" i="2" a="1"/>
  <c r="J32" i="2" s="1"/>
  <c r="O32" i="2" s="1"/>
  <c r="J64" i="2" a="1"/>
  <c r="J64" i="2" s="1"/>
  <c r="O64" i="2" s="1"/>
  <c r="J93" i="2" a="1"/>
  <c r="J93" i="2" s="1"/>
  <c r="O93" i="2" s="1"/>
  <c r="J62" i="2" a="1"/>
  <c r="J62" i="2" s="1"/>
  <c r="O62" i="2" s="1"/>
  <c r="O87" i="2"/>
  <c r="O3" i="2"/>
  <c r="O60" i="2"/>
  <c r="U81" i="2"/>
  <c r="U89" i="2"/>
  <c r="T8" i="2"/>
  <c r="U75" i="2"/>
  <c r="U92" i="2"/>
  <c r="T60" i="2"/>
  <c r="U85" i="2"/>
  <c r="T83" i="2"/>
  <c r="T55" i="2"/>
  <c r="U53" i="2"/>
  <c r="T91" i="2"/>
  <c r="T78" i="2"/>
  <c r="T84" i="2"/>
  <c r="T90" i="2"/>
  <c r="O85" i="2"/>
  <c r="O86" i="2"/>
  <c r="O90" i="2"/>
  <c r="O103" i="2"/>
  <c r="O20" i="2"/>
  <c r="U86" i="2"/>
  <c r="O65" i="2"/>
  <c r="O99" i="2"/>
  <c r="O38" i="2"/>
  <c r="O27" i="2"/>
  <c r="O69" i="2"/>
  <c r="O92" i="2"/>
  <c r="O19" i="2"/>
  <c r="O48" i="2"/>
  <c r="O26" i="2"/>
  <c r="O63" i="2"/>
  <c r="O67" i="2"/>
  <c r="O25" i="2"/>
  <c r="O22" i="2"/>
  <c r="O44" i="2"/>
  <c r="O94" i="2"/>
  <c r="O39" i="2"/>
  <c r="O51" i="2"/>
  <c r="O55" i="2"/>
  <c r="O12" i="2"/>
  <c r="O46" i="2"/>
  <c r="O18" i="2"/>
  <c r="O41" i="2"/>
  <c r="O9" i="2"/>
  <c r="O11" i="2"/>
  <c r="O24" i="2"/>
  <c r="O23" i="2"/>
  <c r="O28" i="2"/>
  <c r="O105" i="2"/>
  <c r="O29" i="2"/>
  <c r="O8" i="2"/>
  <c r="O101" i="2"/>
  <c r="O50" i="2"/>
  <c r="O35" i="2"/>
  <c r="O104" i="2" l="1"/>
  <c r="O71" i="2"/>
  <c r="O49" i="2"/>
  <c r="O7" i="2"/>
  <c r="O61" i="2"/>
  <c r="O47" i="2"/>
  <c r="U90" i="2"/>
  <c r="O88" i="2"/>
  <c r="O72" i="2"/>
  <c r="O30" i="2"/>
  <c r="O76" i="2"/>
  <c r="O78" i="2"/>
  <c r="O73" i="2"/>
  <c r="O40" i="2"/>
  <c r="O56" i="2"/>
  <c r="O16" i="2"/>
  <c r="O82" i="2"/>
  <c r="O96" i="2"/>
  <c r="O13" i="2"/>
  <c r="O31" i="2"/>
  <c r="O79" i="2"/>
  <c r="O84" i="2"/>
  <c r="O45" i="2"/>
  <c r="O33" i="2"/>
  <c r="O70" i="2"/>
  <c r="O100" i="2"/>
  <c r="O15" i="2"/>
  <c r="O5" i="2"/>
  <c r="O4" i="2"/>
  <c r="O89" i="2"/>
  <c r="O54" i="2"/>
  <c r="O36" i="2"/>
  <c r="O98" i="2"/>
  <c r="O66" i="2"/>
  <c r="O17" i="2"/>
  <c r="T85" i="2"/>
  <c r="O80" i="2"/>
  <c r="O42" i="2"/>
  <c r="O68" i="2"/>
  <c r="O95" i="2"/>
  <c r="T89" i="2"/>
  <c r="U91" i="2"/>
  <c r="U83" i="2"/>
  <c r="U78" i="2"/>
  <c r="O75" i="2"/>
  <c r="O106" i="2"/>
  <c r="U84" i="2"/>
  <c r="O81" i="2"/>
  <c r="O58" i="2"/>
  <c r="O59" i="2"/>
  <c r="O10" i="2"/>
  <c r="O91" i="2"/>
  <c r="O97" i="2"/>
  <c r="O83" i="2"/>
  <c r="U60" i="2"/>
  <c r="T86" i="2"/>
  <c r="U68" i="2"/>
  <c r="T88" i="2"/>
  <c r="U88" i="2"/>
  <c r="T46" i="2"/>
  <c r="U46" i="2"/>
  <c r="T87" i="2"/>
  <c r="U87" i="2"/>
  <c r="T68" i="2"/>
  <c r="T79" i="2"/>
  <c r="T53" i="2"/>
  <c r="U79" i="2"/>
  <c r="T75" i="2"/>
  <c r="O52" i="2"/>
  <c r="O77" i="2"/>
  <c r="O34" i="2"/>
  <c r="O74" i="2"/>
  <c r="O43" i="2"/>
  <c r="O102" i="2"/>
  <c r="O37" i="2"/>
  <c r="O21" i="2"/>
  <c r="O14" i="2"/>
  <c r="O53" i="2"/>
  <c r="O6" i="2"/>
  <c r="T92" i="2"/>
  <c r="T81" i="2"/>
  <c r="U55" i="2"/>
  <c r="U8" i="2"/>
  <c r="C9" i="2"/>
  <c r="C27" i="2"/>
  <c r="C48" i="2"/>
  <c r="C21" i="2"/>
  <c r="C14" i="2"/>
  <c r="C45" i="2"/>
  <c r="C28" i="2"/>
  <c r="C73" i="2"/>
  <c r="C38" i="2"/>
  <c r="C59" i="2"/>
  <c r="C11" i="2"/>
  <c r="C82" i="2"/>
  <c r="C24" i="2"/>
  <c r="C52" i="2"/>
  <c r="C25" i="2"/>
  <c r="C7" i="2"/>
  <c r="C4" i="2"/>
  <c r="C47" i="2"/>
  <c r="C10" i="2"/>
  <c r="C105" i="2"/>
  <c r="C35" i="2"/>
  <c r="C65" i="2"/>
  <c r="C44" i="2"/>
  <c r="C33" i="2"/>
  <c r="C5" i="2"/>
  <c r="C66" i="2"/>
  <c r="C80" i="2"/>
  <c r="C36" i="2"/>
  <c r="C26" i="2"/>
  <c r="C77" i="2"/>
  <c r="C32" i="2"/>
  <c r="C72" i="2"/>
  <c r="C39" i="2"/>
  <c r="C50" i="2"/>
  <c r="C15" i="2"/>
  <c r="C18" i="2"/>
  <c r="C42" i="2"/>
  <c r="C20" i="2"/>
  <c r="C67" i="2"/>
  <c r="C30" i="2"/>
  <c r="C41" i="2"/>
  <c r="C23" i="2"/>
  <c r="C16" i="2"/>
  <c r="C40" i="2"/>
  <c r="C76" i="2"/>
  <c r="C70" i="2"/>
  <c r="C34" i="2"/>
  <c r="C74" i="2"/>
  <c r="C51" i="2"/>
  <c r="C64" i="2"/>
  <c r="C104" i="2"/>
  <c r="C6" i="2"/>
  <c r="C54" i="2"/>
  <c r="C58" i="2"/>
  <c r="C43" i="2"/>
  <c r="C63" i="2"/>
  <c r="C49" i="2"/>
  <c r="C17" i="2"/>
  <c r="C22" i="2"/>
  <c r="C94" i="2"/>
  <c r="C95" i="2"/>
  <c r="C60" i="2"/>
  <c r="C79" i="2"/>
  <c r="C96" i="2"/>
  <c r="C61" i="2"/>
  <c r="C97" i="2"/>
  <c r="C98" i="2"/>
  <c r="C99" i="2"/>
  <c r="C100" i="2"/>
  <c r="C101" i="2"/>
  <c r="C102" i="2"/>
  <c r="C31" i="2"/>
  <c r="C37" i="2"/>
  <c r="C13" i="2"/>
  <c r="C12" i="2"/>
  <c r="C19" i="2"/>
  <c r="C57" i="2"/>
  <c r="C71" i="2"/>
  <c r="C93" i="2"/>
  <c r="C69" i="2"/>
  <c r="Z73" i="2" l="1"/>
  <c r="Z77" i="2"/>
  <c r="Z74" i="2"/>
  <c r="Z72" i="2"/>
  <c r="Z76" i="2"/>
  <c r="Q73" i="2" a="1"/>
  <c r="Q73" i="2" s="1"/>
  <c r="S73" i="2"/>
  <c r="Q57" i="2" a="1"/>
  <c r="Q57" i="2" s="1"/>
  <c r="Q26" i="2" a="1"/>
  <c r="Q26" i="2" s="1"/>
  <c r="S26" i="2"/>
  <c r="Q40" i="2" a="1"/>
  <c r="Q40" i="2" s="1"/>
  <c r="S40" i="2"/>
  <c r="Z80" i="2"/>
  <c r="Q82" i="2" a="1"/>
  <c r="Q82" i="2" s="1"/>
  <c r="S82" i="2"/>
  <c r="Q61" i="2" a="1"/>
  <c r="Q61" i="2" s="1"/>
  <c r="S61" i="2"/>
  <c r="Q16" i="2" a="1"/>
  <c r="Q16" i="2" s="1"/>
  <c r="S16" i="2"/>
  <c r="Z75" i="2"/>
  <c r="Q80" i="2" a="1"/>
  <c r="Q80" i="2" s="1"/>
  <c r="S80" i="2"/>
  <c r="Q48" i="2" a="1"/>
  <c r="Q48" i="2" s="1"/>
  <c r="S48" i="2"/>
  <c r="Q17" i="2" a="1"/>
  <c r="Q17" i="2" s="1"/>
  <c r="S17" i="2"/>
  <c r="Q69" i="2" a="1"/>
  <c r="Q69" i="2" s="1"/>
  <c r="S69" i="2"/>
  <c r="Q31" i="2" a="1"/>
  <c r="Q31" i="2" s="1"/>
  <c r="S31" i="2"/>
  <c r="Q49" i="2" a="1"/>
  <c r="Q49" i="2" s="1"/>
  <c r="S49" i="2"/>
  <c r="Q66" i="2" a="1"/>
  <c r="Q66" i="2" s="1"/>
  <c r="S66" i="2"/>
  <c r="S59" i="2"/>
  <c r="Q13" i="2" a="1"/>
  <c r="Q13" i="2" s="1"/>
  <c r="S13" i="2"/>
  <c r="Z102" i="2"/>
  <c r="Q63" i="2" a="1"/>
  <c r="Q63" i="2" s="1"/>
  <c r="S63" i="2"/>
  <c r="Z101" i="2"/>
  <c r="Q72" i="2" a="1"/>
  <c r="Q72" i="2" s="1"/>
  <c r="S72" i="2"/>
  <c r="Q71" i="2" a="1"/>
  <c r="Q71" i="2" s="1"/>
  <c r="S71" i="2"/>
  <c r="Z100" i="2"/>
  <c r="Q34" i="2" a="1"/>
  <c r="Q34" i="2" s="1"/>
  <c r="S34" i="2"/>
  <c r="Q30" i="2" a="1"/>
  <c r="Q30" i="2" s="1"/>
  <c r="S30" i="2"/>
  <c r="Q33" i="2" a="1"/>
  <c r="Q33" i="2" s="1"/>
  <c r="S33" i="2"/>
  <c r="Q58" i="2" a="1"/>
  <c r="Q58" i="2" s="1"/>
  <c r="S58" i="2"/>
  <c r="Q67" i="2" a="1"/>
  <c r="Q67" i="2" s="1"/>
  <c r="S67" i="2"/>
  <c r="Z71" i="2"/>
  <c r="Q19" i="2" a="1"/>
  <c r="Q19" i="2" s="1"/>
  <c r="S19" i="2"/>
  <c r="Q54" i="2" a="1"/>
  <c r="Q54" i="2" s="1"/>
  <c r="S54" i="2"/>
  <c r="Q77" i="2" a="1"/>
  <c r="Q77" i="2" s="1"/>
  <c r="S77" i="2"/>
  <c r="Q65" i="2" a="1"/>
  <c r="Q65" i="2" s="1"/>
  <c r="S65" i="2"/>
  <c r="Q45" i="2" a="1"/>
  <c r="Q45" i="2" s="1"/>
  <c r="S45" i="2"/>
  <c r="Z96" i="2"/>
  <c r="Z81" i="2"/>
  <c r="Z93" i="2"/>
  <c r="Z94" i="2"/>
  <c r="Z99" i="2"/>
  <c r="Z98" i="2"/>
  <c r="Z95" i="2"/>
  <c r="Z97" i="2"/>
  <c r="Z89" i="2"/>
  <c r="Z29" i="2"/>
  <c r="Z32" i="2"/>
  <c r="Z30" i="2"/>
  <c r="Z68" i="2"/>
  <c r="Z59" i="2"/>
  <c r="Z65" i="2"/>
  <c r="Z56" i="2"/>
  <c r="Z47" i="2"/>
  <c r="Z25" i="2"/>
  <c r="Z28" i="2"/>
  <c r="Z39" i="2"/>
  <c r="Z57" i="2"/>
  <c r="Z31" i="2"/>
  <c r="Z84" i="2"/>
  <c r="Z48" i="2"/>
  <c r="Z20" i="2"/>
  <c r="Z11" i="2"/>
  <c r="Z83" i="2"/>
  <c r="Z24" i="2"/>
  <c r="Z27" i="2"/>
  <c r="Z17" i="2"/>
  <c r="Z38" i="2"/>
  <c r="Z19" i="2"/>
  <c r="Z52" i="2"/>
  <c r="Z61" i="2"/>
  <c r="Z60" i="2"/>
  <c r="Z106" i="2"/>
  <c r="Z54" i="2"/>
  <c r="Z51" i="2"/>
  <c r="Z4" i="2"/>
  <c r="Z33" i="2"/>
  <c r="Z86" i="2"/>
  <c r="Z67" i="2"/>
  <c r="Z12" i="2"/>
  <c r="Z23" i="2"/>
  <c r="Z10" i="2"/>
  <c r="Z85" i="2"/>
  <c r="Z64" i="2"/>
  <c r="Z50" i="2"/>
  <c r="Z13" i="2"/>
  <c r="Z14" i="2"/>
  <c r="Z78" i="2"/>
  <c r="Z104" i="2"/>
  <c r="Z63" i="2"/>
  <c r="Z49" i="2"/>
  <c r="Z42" i="2"/>
  <c r="Z58" i="2"/>
  <c r="Z16" i="2"/>
  <c r="Z6" i="2"/>
  <c r="Z55" i="2"/>
  <c r="Z21" i="2"/>
  <c r="Z70" i="2"/>
  <c r="Z79" i="2"/>
  <c r="Z62" i="2"/>
  <c r="Z82" i="2"/>
  <c r="Z36" i="2"/>
  <c r="Z41" i="2"/>
  <c r="Z45" i="2"/>
  <c r="Z5" i="2"/>
  <c r="Z88" i="2"/>
  <c r="Z40" i="2"/>
  <c r="Z66" i="2"/>
  <c r="Z26" i="2"/>
  <c r="Z7" i="2"/>
  <c r="Z105" i="2"/>
  <c r="Z3" i="2"/>
  <c r="Z15" i="2"/>
  <c r="Z87" i="2"/>
  <c r="Z46" i="2"/>
  <c r="Z44" i="2"/>
  <c r="Z53" i="2"/>
  <c r="Z43" i="2"/>
  <c r="Z34" i="2"/>
  <c r="Z9" i="2"/>
  <c r="Z69" i="2"/>
  <c r="Z35" i="2"/>
  <c r="Z18" i="2"/>
  <c r="Z37" i="2"/>
  <c r="Z8" i="2"/>
  <c r="Z22" i="2"/>
  <c r="T22" i="2"/>
  <c r="U12" i="2"/>
  <c r="T56" i="2"/>
  <c r="S99" i="14"/>
  <c r="L53" i="2" s="1" a="1"/>
  <c r="L53" i="2" s="1"/>
  <c r="S100" i="14"/>
  <c r="L75" i="2" s="1" a="1"/>
  <c r="L75" i="2" s="1"/>
  <c r="R101" i="14"/>
  <c r="K106" i="2" s="1" a="1"/>
  <c r="K106" i="2" s="1"/>
  <c r="S16" i="14"/>
  <c r="L84" i="2" s="1" a="1"/>
  <c r="L84" i="2" s="1"/>
  <c r="S10" i="14"/>
  <c r="L88" i="2" s="1" a="1"/>
  <c r="L88" i="2" s="1"/>
  <c r="S102" i="14"/>
  <c r="L91" i="2" s="1" a="1"/>
  <c r="L91" i="2" s="1"/>
  <c r="R103" i="14"/>
  <c r="K87" i="2" s="1" a="1"/>
  <c r="K87" i="2" s="1"/>
  <c r="S11" i="14"/>
  <c r="L83" i="2" s="1" a="1"/>
  <c r="L83" i="2" s="1"/>
  <c r="R104" i="14"/>
  <c r="K78" i="2" s="1" a="1"/>
  <c r="K78" i="2" s="1"/>
  <c r="S105" i="14"/>
  <c r="L68" i="2" s="1" a="1"/>
  <c r="L68" i="2" s="1"/>
  <c r="R17" i="14"/>
  <c r="K89" i="2" s="1" a="1"/>
  <c r="K89" i="2" s="1"/>
  <c r="S5" i="14"/>
  <c r="L86" i="2" s="1" a="1"/>
  <c r="L86" i="2" s="1"/>
  <c r="R6" i="14"/>
  <c r="K85" i="2" s="1" a="1"/>
  <c r="K85" i="2" s="1"/>
  <c r="S4" i="14"/>
  <c r="L90" i="2" s="1" a="1"/>
  <c r="L90" i="2" s="1"/>
  <c r="P99" i="14"/>
  <c r="M53" i="2" s="1" a="1"/>
  <c r="M53" i="2" s="1"/>
  <c r="Q100" i="14"/>
  <c r="N75" i="2" s="1" a="1"/>
  <c r="N75" i="2" s="1"/>
  <c r="Q101" i="14"/>
  <c r="N106" i="2" s="1" a="1"/>
  <c r="N106" i="2" s="1"/>
  <c r="P16" i="14"/>
  <c r="M84" i="2" s="1" a="1"/>
  <c r="M84" i="2" s="1"/>
  <c r="Q10" i="14"/>
  <c r="N88" i="2" s="1" a="1"/>
  <c r="N88" i="2" s="1"/>
  <c r="Q102" i="14"/>
  <c r="N91" i="2" s="1" a="1"/>
  <c r="N91" i="2" s="1"/>
  <c r="Q103" i="14"/>
  <c r="N87" i="2" s="1" a="1"/>
  <c r="N87" i="2" s="1"/>
  <c r="Q11" i="14"/>
  <c r="N83" i="2" s="1" a="1"/>
  <c r="N83" i="2" s="1"/>
  <c r="Q104" i="14"/>
  <c r="N78" i="2" s="1" a="1"/>
  <c r="N78" i="2" s="1"/>
  <c r="Q105" i="14"/>
  <c r="N68" i="2" s="1" a="1"/>
  <c r="N68" i="2" s="1"/>
  <c r="Q17" i="14"/>
  <c r="N89" i="2" s="1" a="1"/>
  <c r="N89" i="2" s="1"/>
  <c r="Q5" i="14"/>
  <c r="N86" i="2" s="1" a="1"/>
  <c r="N86" i="2" s="1"/>
  <c r="Q6" i="14"/>
  <c r="N85" i="2" s="1" a="1"/>
  <c r="N85" i="2" s="1"/>
  <c r="P4" i="14"/>
  <c r="M90" i="2" s="1" a="1"/>
  <c r="M90" i="2" s="1"/>
  <c r="T99" i="14"/>
  <c r="T100" i="14"/>
  <c r="T101" i="14"/>
  <c r="T16" i="14"/>
  <c r="T10" i="14"/>
  <c r="T102" i="14"/>
  <c r="T103" i="14"/>
  <c r="T11" i="14"/>
  <c r="T104" i="14"/>
  <c r="T105" i="14"/>
  <c r="T17" i="14"/>
  <c r="T5" i="14"/>
  <c r="T6" i="14"/>
  <c r="T4" i="14"/>
  <c r="T54" i="2" l="1"/>
  <c r="U54" i="2"/>
  <c r="T61" i="2"/>
  <c r="U61" i="2"/>
  <c r="T59" i="2"/>
  <c r="U59" i="2"/>
  <c r="U62" i="2"/>
  <c r="T62" i="2"/>
  <c r="T19" i="2"/>
  <c r="U13" i="2"/>
  <c r="P6" i="14"/>
  <c r="M85" i="2" s="1" a="1"/>
  <c r="M85" i="2" s="1"/>
  <c r="U22" i="2"/>
  <c r="U19" i="2"/>
  <c r="U31" i="2"/>
  <c r="T31" i="2"/>
  <c r="U29" i="2"/>
  <c r="T29" i="2"/>
  <c r="T57" i="2"/>
  <c r="U57" i="2"/>
  <c r="U71" i="2"/>
  <c r="T71" i="2"/>
  <c r="T37" i="2"/>
  <c r="U37" i="2"/>
  <c r="T13" i="2"/>
  <c r="T12" i="2"/>
  <c r="U56" i="2"/>
  <c r="R10" i="14"/>
  <c r="K88" i="2" s="1" a="1"/>
  <c r="K88" i="2" s="1"/>
  <c r="R102" i="14"/>
  <c r="K91" i="2" s="1" a="1"/>
  <c r="K91" i="2" s="1"/>
  <c r="P5" i="14"/>
  <c r="M86" i="2" s="1" a="1"/>
  <c r="M86" i="2" s="1"/>
  <c r="P11" i="14"/>
  <c r="M83" i="2" s="1" a="1"/>
  <c r="M83" i="2" s="1"/>
  <c r="S104" i="14"/>
  <c r="L78" i="2" s="1" a="1"/>
  <c r="L78" i="2" s="1"/>
  <c r="R105" i="14"/>
  <c r="K68" i="2" s="1" a="1"/>
  <c r="K68" i="2" s="1"/>
  <c r="S103" i="14"/>
  <c r="L87" i="2" s="1" a="1"/>
  <c r="L87" i="2" s="1"/>
  <c r="S17" i="14"/>
  <c r="L89" i="2" s="1" a="1"/>
  <c r="L89" i="2" s="1"/>
  <c r="P104" i="14"/>
  <c r="M78" i="2" s="1" a="1"/>
  <c r="M78" i="2" s="1"/>
  <c r="R16" i="14"/>
  <c r="K84" i="2" s="1" a="1"/>
  <c r="K84" i="2" s="1"/>
  <c r="P17" i="14"/>
  <c r="M89" i="2" s="1" a="1"/>
  <c r="M89" i="2" s="1"/>
  <c r="P105" i="14"/>
  <c r="M68" i="2" s="1" a="1"/>
  <c r="M68" i="2" s="1"/>
  <c r="R11" i="14"/>
  <c r="K83" i="2" s="1" a="1"/>
  <c r="K83" i="2" s="1"/>
  <c r="R4" i="14"/>
  <c r="K90" i="2" s="1" a="1"/>
  <c r="K90" i="2" s="1"/>
  <c r="P103" i="14"/>
  <c r="M87" i="2" s="1" a="1"/>
  <c r="M87" i="2" s="1"/>
  <c r="P102" i="14"/>
  <c r="M91" i="2" s="1" a="1"/>
  <c r="M91" i="2" s="1"/>
  <c r="P10" i="14"/>
  <c r="M88" i="2" s="1" a="1"/>
  <c r="M88" i="2" s="1"/>
  <c r="Q16" i="14"/>
  <c r="N84" i="2" s="1" a="1"/>
  <c r="N84" i="2" s="1"/>
  <c r="S101" i="14"/>
  <c r="L106" i="2" s="1" a="1"/>
  <c r="L106" i="2" s="1"/>
  <c r="Q4" i="14"/>
  <c r="N90" i="2" s="1" a="1"/>
  <c r="N90" i="2" s="1"/>
  <c r="S6" i="14"/>
  <c r="L85" i="2" s="1" a="1"/>
  <c r="L85" i="2" s="1"/>
  <c r="R100" i="14"/>
  <c r="K75" i="2" s="1" a="1"/>
  <c r="K75" i="2" s="1"/>
  <c r="R5" i="14"/>
  <c r="K86" i="2" s="1" a="1"/>
  <c r="K86" i="2" s="1"/>
  <c r="P101" i="14"/>
  <c r="M106" i="2" s="1" a="1"/>
  <c r="M106" i="2" s="1"/>
  <c r="P100" i="14"/>
  <c r="M75" i="2" s="1" a="1"/>
  <c r="M75" i="2" s="1"/>
  <c r="R99" i="14"/>
  <c r="K53" i="2" s="1" a="1"/>
  <c r="K53" i="2" s="1"/>
  <c r="Q99" i="14"/>
  <c r="N53" i="2" s="1" a="1"/>
  <c r="N53" i="2" s="1"/>
  <c r="T40" i="2"/>
  <c r="U40" i="2"/>
  <c r="P85" i="2" l="1"/>
  <c r="R85" i="2" s="1"/>
  <c r="P86" i="2"/>
  <c r="P90" i="2"/>
  <c r="P84" i="2"/>
  <c r="P68" i="2"/>
  <c r="U63" i="2"/>
  <c r="U72" i="2"/>
  <c r="U16" i="2"/>
  <c r="T22" i="14"/>
  <c r="T23" i="14"/>
  <c r="T24" i="14"/>
  <c r="T25" i="14"/>
  <c r="T26" i="14"/>
  <c r="T27" i="14"/>
  <c r="T28" i="14"/>
  <c r="T29" i="14"/>
  <c r="T30" i="14"/>
  <c r="T31" i="14"/>
  <c r="T32" i="14"/>
  <c r="T33" i="14"/>
  <c r="T34" i="14"/>
  <c r="T35" i="14"/>
  <c r="T36" i="14"/>
  <c r="T37" i="14"/>
  <c r="T7" i="14"/>
  <c r="T38" i="14"/>
  <c r="T39" i="14"/>
  <c r="T40" i="14"/>
  <c r="T41" i="14"/>
  <c r="T12" i="14"/>
  <c r="T42" i="14"/>
  <c r="T43" i="14"/>
  <c r="T44" i="14"/>
  <c r="T45" i="14"/>
  <c r="T46" i="14"/>
  <c r="T47" i="14"/>
  <c r="T48" i="14"/>
  <c r="T49" i="14"/>
  <c r="T50" i="14"/>
  <c r="T51" i="14"/>
  <c r="T52" i="14"/>
  <c r="T53" i="14"/>
  <c r="T54" i="14"/>
  <c r="T55" i="14"/>
  <c r="T56" i="14"/>
  <c r="T57" i="14"/>
  <c r="T58" i="14"/>
  <c r="T59" i="14"/>
  <c r="T60" i="14"/>
  <c r="T61" i="14"/>
  <c r="T62" i="14"/>
  <c r="T63" i="14"/>
  <c r="T64" i="14"/>
  <c r="T65" i="14"/>
  <c r="T66" i="14"/>
  <c r="T67" i="14"/>
  <c r="T68" i="14"/>
  <c r="T69" i="14"/>
  <c r="T70" i="14"/>
  <c r="T18" i="14"/>
  <c r="T71" i="14"/>
  <c r="T72" i="14"/>
  <c r="T73" i="14"/>
  <c r="T74" i="14"/>
  <c r="T75" i="14"/>
  <c r="T76" i="14"/>
  <c r="T77" i="14"/>
  <c r="T13" i="14"/>
  <c r="T78" i="14"/>
  <c r="T79" i="14"/>
  <c r="T80" i="14"/>
  <c r="T19" i="14"/>
  <c r="T81" i="14"/>
  <c r="T9" i="14"/>
  <c r="T14" i="14"/>
  <c r="T8" i="14"/>
  <c r="T82" i="14"/>
  <c r="T83" i="14"/>
  <c r="T20" i="14"/>
  <c r="T84" i="14"/>
  <c r="T85" i="14"/>
  <c r="T15" i="14"/>
  <c r="T86" i="14"/>
  <c r="T87" i="14"/>
  <c r="T88" i="14"/>
  <c r="T89" i="14"/>
  <c r="T90" i="14"/>
  <c r="T91" i="14"/>
  <c r="T92" i="14"/>
  <c r="T21" i="14"/>
  <c r="T93" i="14"/>
  <c r="T94" i="14"/>
  <c r="T95" i="14"/>
  <c r="T96" i="14"/>
  <c r="T97" i="14"/>
  <c r="T106" i="14"/>
  <c r="T98" i="14"/>
  <c r="V85" i="2" l="1"/>
  <c r="Y85" i="2"/>
  <c r="P83" i="2"/>
  <c r="Y83" i="2" s="1"/>
  <c r="W85" i="2"/>
  <c r="X85" i="2"/>
  <c r="P106" i="2"/>
  <c r="R86" i="2"/>
  <c r="W86" i="2"/>
  <c r="V86" i="2"/>
  <c r="X86" i="2"/>
  <c r="Y86" i="2"/>
  <c r="R90" i="2"/>
  <c r="V90" i="2"/>
  <c r="W90" i="2"/>
  <c r="Y90" i="2"/>
  <c r="X90" i="2"/>
  <c r="R68" i="2"/>
  <c r="V68" i="2"/>
  <c r="Y68" i="2"/>
  <c r="X68" i="2"/>
  <c r="W68" i="2"/>
  <c r="R84" i="2"/>
  <c r="W84" i="2"/>
  <c r="V84" i="2"/>
  <c r="X84" i="2"/>
  <c r="Y84" i="2"/>
  <c r="P91" i="2"/>
  <c r="P88" i="2"/>
  <c r="P78" i="2"/>
  <c r="P87" i="2"/>
  <c r="P75" i="2"/>
  <c r="P53" i="2"/>
  <c r="T17" i="2"/>
  <c r="U49" i="2"/>
  <c r="U52" i="2"/>
  <c r="U48" i="2"/>
  <c r="U69" i="2"/>
  <c r="U67" i="2"/>
  <c r="T42" i="2"/>
  <c r="U50" i="2"/>
  <c r="U30" i="2"/>
  <c r="T74" i="2"/>
  <c r="U32" i="2"/>
  <c r="U18" i="2"/>
  <c r="T58" i="2"/>
  <c r="T15" i="2"/>
  <c r="U4" i="2"/>
  <c r="T4" i="2"/>
  <c r="T35" i="2"/>
  <c r="U35" i="2"/>
  <c r="U77" i="2"/>
  <c r="T77" i="2"/>
  <c r="U44" i="2"/>
  <c r="T44" i="2"/>
  <c r="T50" i="2"/>
  <c r="T11" i="2"/>
  <c r="U11" i="2"/>
  <c r="T63" i="2"/>
  <c r="U82" i="2"/>
  <c r="T82" i="2"/>
  <c r="T10" i="2"/>
  <c r="U10" i="2"/>
  <c r="U74" i="2"/>
  <c r="T76" i="2"/>
  <c r="U76" i="2"/>
  <c r="U15" i="2"/>
  <c r="T5" i="2"/>
  <c r="U5" i="2"/>
  <c r="T64" i="2"/>
  <c r="U64" i="2"/>
  <c r="T9" i="2"/>
  <c r="U9" i="2"/>
  <c r="U26" i="2"/>
  <c r="T16" i="2"/>
  <c r="T51" i="2"/>
  <c r="U51" i="2"/>
  <c r="T26" i="2"/>
  <c r="T72" i="2"/>
  <c r="T27" i="2"/>
  <c r="U27" i="2"/>
  <c r="T21" i="2"/>
  <c r="U21" i="2"/>
  <c r="T43" i="2"/>
  <c r="U43" i="2"/>
  <c r="T73" i="2"/>
  <c r="U73" i="2"/>
  <c r="T45" i="2"/>
  <c r="U45" i="2"/>
  <c r="T38" i="2"/>
  <c r="U38" i="2"/>
  <c r="U47" i="2"/>
  <c r="T47" i="2"/>
  <c r="T70" i="2"/>
  <c r="U70" i="2"/>
  <c r="T20" i="2"/>
  <c r="U20" i="2"/>
  <c r="T28" i="2"/>
  <c r="U28" i="2"/>
  <c r="T34" i="2"/>
  <c r="U34" i="2"/>
  <c r="U36" i="2"/>
  <c r="T36" i="2"/>
  <c r="T23" i="2"/>
  <c r="U23" i="2"/>
  <c r="T65" i="2"/>
  <c r="U65" i="2"/>
  <c r="T80" i="2"/>
  <c r="U80" i="2"/>
  <c r="T25" i="2"/>
  <c r="U25" i="2"/>
  <c r="U6" i="2"/>
  <c r="T6" i="2"/>
  <c r="T39" i="2"/>
  <c r="U39" i="2"/>
  <c r="U66" i="2"/>
  <c r="T66" i="2"/>
  <c r="T33" i="2"/>
  <c r="U33" i="2"/>
  <c r="U7" i="2"/>
  <c r="T7" i="2"/>
  <c r="T14" i="2"/>
  <c r="U14" i="2"/>
  <c r="U24" i="2"/>
  <c r="T24" i="2"/>
  <c r="W83" i="2" l="1"/>
  <c r="V83" i="2"/>
  <c r="X83" i="2"/>
  <c r="R83" i="2"/>
  <c r="R87" i="2"/>
  <c r="Y87" i="2"/>
  <c r="V87" i="2"/>
  <c r="W87" i="2"/>
  <c r="X87" i="2"/>
  <c r="X78" i="2"/>
  <c r="V78" i="2"/>
  <c r="Y78" i="2"/>
  <c r="W78" i="2"/>
  <c r="R78" i="2"/>
  <c r="R53" i="2"/>
  <c r="W53" i="2"/>
  <c r="V53" i="2"/>
  <c r="Y53" i="2"/>
  <c r="X53" i="2"/>
  <c r="R88" i="2"/>
  <c r="X88" i="2"/>
  <c r="Y88" i="2"/>
  <c r="V88" i="2"/>
  <c r="W88" i="2"/>
  <c r="X91" i="2"/>
  <c r="W91" i="2"/>
  <c r="Y91" i="2"/>
  <c r="R91" i="2"/>
  <c r="V91" i="2"/>
  <c r="W75" i="2"/>
  <c r="V75" i="2"/>
  <c r="X75" i="2"/>
  <c r="Y75" i="2"/>
  <c r="R75" i="2"/>
  <c r="T30" i="2"/>
  <c r="T52" i="2"/>
  <c r="U58" i="2"/>
  <c r="T32" i="2"/>
  <c r="T48" i="2"/>
  <c r="T69" i="2"/>
  <c r="U42" i="2"/>
  <c r="T49" i="2"/>
  <c r="U17" i="2"/>
  <c r="T67" i="2"/>
  <c r="T18" i="2"/>
  <c r="P92" i="14" l="1"/>
  <c r="M73" i="2" s="1" a="1"/>
  <c r="M73" i="2" s="1"/>
  <c r="R92" i="14"/>
  <c r="K73" i="2" s="1" a="1"/>
  <c r="K73" i="2" s="1"/>
  <c r="P21" i="14"/>
  <c r="M59" i="2" s="1" a="1"/>
  <c r="M59" i="2" s="1"/>
  <c r="S21" i="14"/>
  <c r="L59" i="2" s="1" a="1"/>
  <c r="L59" i="2" s="1"/>
  <c r="P93" i="14"/>
  <c r="M71" i="2" s="1" a="1"/>
  <c r="M71" i="2" s="1"/>
  <c r="S93" i="14"/>
  <c r="L71" i="2" s="1" a="1"/>
  <c r="L71" i="2" s="1"/>
  <c r="Q94" i="14"/>
  <c r="R94" i="14"/>
  <c r="P95" i="14"/>
  <c r="M29" i="2" s="1" a="1"/>
  <c r="M29" i="2" s="1"/>
  <c r="S95" i="14"/>
  <c r="L29" i="2" s="1" a="1"/>
  <c r="L29" i="2" s="1"/>
  <c r="P96" i="14"/>
  <c r="M46" i="2" s="1" a="1"/>
  <c r="M46" i="2" s="1"/>
  <c r="S96" i="14"/>
  <c r="L46" i="2" s="1" a="1"/>
  <c r="L46" i="2" s="1"/>
  <c r="Q97" i="14"/>
  <c r="N55" i="2" s="1" a="1"/>
  <c r="N55" i="2" s="1"/>
  <c r="S97" i="14"/>
  <c r="L55" i="2" s="1" a="1"/>
  <c r="L55" i="2" s="1"/>
  <c r="P106" i="14"/>
  <c r="R106" i="14"/>
  <c r="P98" i="14"/>
  <c r="M8" i="2" s="1" a="1"/>
  <c r="M8" i="2" s="1"/>
  <c r="R98" i="14"/>
  <c r="K8" i="2" s="1" a="1"/>
  <c r="K8" i="2" s="1"/>
  <c r="Q92" i="14"/>
  <c r="N73" i="2" s="1" a="1"/>
  <c r="N73" i="2" s="1"/>
  <c r="Q98" i="14"/>
  <c r="N8" i="2" s="1" a="1"/>
  <c r="N8" i="2" s="1"/>
  <c r="K62" i="2" l="1" a="1"/>
  <c r="K62" i="2" s="1"/>
  <c r="K93" i="2" a="1"/>
  <c r="K93" i="2" s="1"/>
  <c r="N62" i="2" a="1"/>
  <c r="N62" i="2" s="1"/>
  <c r="N93" i="2" a="1"/>
  <c r="N93" i="2" s="1"/>
  <c r="R96" i="14"/>
  <c r="K46" i="2" s="1" a="1"/>
  <c r="K46" i="2" s="1"/>
  <c r="S94" i="14"/>
  <c r="R21" i="14"/>
  <c r="K59" i="2" s="1" a="1"/>
  <c r="K59" i="2" s="1"/>
  <c r="Q95" i="14"/>
  <c r="N29" i="2" s="1" a="1"/>
  <c r="N29" i="2" s="1"/>
  <c r="P94" i="14"/>
  <c r="R93" i="14"/>
  <c r="K71" i="2" s="1" a="1"/>
  <c r="K71" i="2" s="1"/>
  <c r="Q96" i="14"/>
  <c r="N46" i="2" s="1" a="1"/>
  <c r="N46" i="2" s="1"/>
  <c r="Q106" i="14"/>
  <c r="R97" i="14"/>
  <c r="K55" i="2" s="1" a="1"/>
  <c r="K55" i="2" s="1"/>
  <c r="S106" i="14"/>
  <c r="P97" i="14"/>
  <c r="M55" i="2" s="1" a="1"/>
  <c r="M55" i="2" s="1"/>
  <c r="R95" i="14"/>
  <c r="K29" i="2" s="1" a="1"/>
  <c r="K29" i="2" s="1"/>
  <c r="Q21" i="14"/>
  <c r="N59" i="2" s="1" a="1"/>
  <c r="N59" i="2" s="1"/>
  <c r="S98" i="14"/>
  <c r="L8" i="2" s="1" a="1"/>
  <c r="L8" i="2" s="1"/>
  <c r="Q93" i="14"/>
  <c r="N71" i="2" s="1" a="1"/>
  <c r="N71" i="2" s="1"/>
  <c r="S92" i="14"/>
  <c r="L73" i="2" s="1" a="1"/>
  <c r="L73" i="2" s="1"/>
  <c r="M62" i="2" l="1" a="1"/>
  <c r="M62" i="2" s="1"/>
  <c r="M93" i="2" a="1"/>
  <c r="M93" i="2" s="1"/>
  <c r="L62" i="2" a="1"/>
  <c r="L62" i="2" s="1"/>
  <c r="L93" i="2" a="1"/>
  <c r="L93" i="2" s="1"/>
  <c r="P8" i="2"/>
  <c r="P29" i="2"/>
  <c r="P46" i="2"/>
  <c r="R89" i="14"/>
  <c r="K48" i="2" s="1" a="1"/>
  <c r="K48" i="2" s="1"/>
  <c r="R90" i="14"/>
  <c r="K54" i="2" s="1" a="1"/>
  <c r="K54" i="2" s="1"/>
  <c r="R91" i="14"/>
  <c r="K16" i="2" s="1" a="1"/>
  <c r="K16" i="2" s="1"/>
  <c r="P89" i="14"/>
  <c r="M48" i="2" s="1" a="1"/>
  <c r="M48" i="2" s="1"/>
  <c r="P90" i="14"/>
  <c r="M54" i="2" s="1" a="1"/>
  <c r="M54" i="2" s="1"/>
  <c r="P91" i="14"/>
  <c r="M16" i="2" s="1" a="1"/>
  <c r="M16" i="2" s="1"/>
  <c r="P93" i="2" l="1"/>
  <c r="P71" i="2"/>
  <c r="R71" i="2" s="1"/>
  <c r="R46" i="2"/>
  <c r="Y46" i="2"/>
  <c r="V46" i="2"/>
  <c r="X46" i="2"/>
  <c r="W46" i="2"/>
  <c r="W8" i="2"/>
  <c r="Y8" i="2"/>
  <c r="V8" i="2"/>
  <c r="R8" i="2"/>
  <c r="X8" i="2"/>
  <c r="P59" i="2"/>
  <c r="P55" i="2"/>
  <c r="R29" i="2"/>
  <c r="Y29" i="2"/>
  <c r="X29" i="2"/>
  <c r="V29" i="2"/>
  <c r="W29" i="2"/>
  <c r="S89" i="14"/>
  <c r="L48" i="2" s="1" a="1"/>
  <c r="L48" i="2" s="1"/>
  <c r="S90" i="14"/>
  <c r="L54" i="2" s="1" a="1"/>
  <c r="L54" i="2" s="1"/>
  <c r="Q89" i="14"/>
  <c r="N48" i="2" s="1" a="1"/>
  <c r="N48" i="2" s="1"/>
  <c r="S91" i="14"/>
  <c r="L16" i="2" s="1" a="1"/>
  <c r="L16" i="2" s="1"/>
  <c r="Q90" i="14"/>
  <c r="N54" i="2" s="1" a="1"/>
  <c r="N54" i="2" s="1"/>
  <c r="Q91" i="14"/>
  <c r="N16" i="2" s="1" a="1"/>
  <c r="N16" i="2" s="1"/>
  <c r="P19" i="14"/>
  <c r="M77" i="2" s="1" a="1"/>
  <c r="M77" i="2" s="1"/>
  <c r="Q19" i="14"/>
  <c r="N77" i="2" s="1" a="1"/>
  <c r="N77" i="2" s="1"/>
  <c r="R19" i="14"/>
  <c r="K77" i="2" s="1" a="1"/>
  <c r="K77" i="2" s="1"/>
  <c r="S19" i="14"/>
  <c r="L77" i="2" s="1" a="1"/>
  <c r="L77" i="2" s="1"/>
  <c r="P81" i="14"/>
  <c r="M49" i="2" s="1" a="1"/>
  <c r="M49" i="2" s="1"/>
  <c r="Q81" i="14"/>
  <c r="N49" i="2" s="1" a="1"/>
  <c r="N49" i="2" s="1"/>
  <c r="R81" i="14"/>
  <c r="K49" i="2" s="1" a="1"/>
  <c r="K49" i="2" s="1"/>
  <c r="S81" i="14"/>
  <c r="L49" i="2" s="1" a="1"/>
  <c r="L49" i="2" s="1"/>
  <c r="P88" i="14"/>
  <c r="M104" i="2" s="1" a="1"/>
  <c r="M104" i="2" s="1"/>
  <c r="Q88" i="14"/>
  <c r="N104" i="2" s="1" a="1"/>
  <c r="N104" i="2" s="1"/>
  <c r="R88" i="14"/>
  <c r="K104" i="2" s="1" a="1"/>
  <c r="K104" i="2" s="1"/>
  <c r="S88" i="14"/>
  <c r="L104" i="2" s="1" a="1"/>
  <c r="L104" i="2" s="1"/>
  <c r="P9" i="14"/>
  <c r="M63" i="2" s="1" a="1"/>
  <c r="M63" i="2" s="1"/>
  <c r="Q9" i="14"/>
  <c r="N63" i="2" s="1" a="1"/>
  <c r="N63" i="2" s="1"/>
  <c r="R9" i="14"/>
  <c r="K63" i="2" s="1" a="1"/>
  <c r="K63" i="2" s="1"/>
  <c r="S9" i="14"/>
  <c r="L63" i="2" s="1" a="1"/>
  <c r="L63" i="2" s="1"/>
  <c r="P14" i="14"/>
  <c r="M17" i="2" s="1" a="1"/>
  <c r="M17" i="2" s="1"/>
  <c r="Q14" i="14"/>
  <c r="N17" i="2" s="1" a="1"/>
  <c r="N17" i="2" s="1"/>
  <c r="R14" i="14"/>
  <c r="K17" i="2" s="1" a="1"/>
  <c r="K17" i="2" s="1"/>
  <c r="S14" i="14"/>
  <c r="L17" i="2" s="1" a="1"/>
  <c r="L17" i="2" s="1"/>
  <c r="P8" i="14"/>
  <c r="M40" i="2" s="1" a="1"/>
  <c r="M40" i="2" s="1"/>
  <c r="Q8" i="14"/>
  <c r="N40" i="2" s="1" a="1"/>
  <c r="N40" i="2" s="1"/>
  <c r="R8" i="14"/>
  <c r="K40" i="2" s="1" a="1"/>
  <c r="K40" i="2" s="1"/>
  <c r="S8" i="14"/>
  <c r="L40" i="2" s="1" a="1"/>
  <c r="L40" i="2" s="1"/>
  <c r="P82" i="14"/>
  <c r="M30" i="2" s="1" a="1"/>
  <c r="M30" i="2" s="1"/>
  <c r="Q82" i="14"/>
  <c r="N30" i="2" s="1" a="1"/>
  <c r="N30" i="2" s="1"/>
  <c r="R82" i="14"/>
  <c r="K30" i="2" s="1" a="1"/>
  <c r="K30" i="2" s="1"/>
  <c r="S82" i="14"/>
  <c r="L30" i="2" s="1" a="1"/>
  <c r="L30" i="2" s="1"/>
  <c r="P83" i="14"/>
  <c r="M34" i="2" s="1" a="1"/>
  <c r="M34" i="2" s="1"/>
  <c r="Q83" i="14"/>
  <c r="N34" i="2" s="1" a="1"/>
  <c r="N34" i="2" s="1"/>
  <c r="R83" i="14"/>
  <c r="K34" i="2" s="1" a="1"/>
  <c r="K34" i="2" s="1"/>
  <c r="S83" i="14"/>
  <c r="L34" i="2" s="1" a="1"/>
  <c r="L34" i="2" s="1"/>
  <c r="P20" i="14"/>
  <c r="M69" i="2" s="1" a="1"/>
  <c r="M69" i="2" s="1"/>
  <c r="Q20" i="14"/>
  <c r="N69" i="2" s="1" a="1"/>
  <c r="N69" i="2" s="1"/>
  <c r="R20" i="14"/>
  <c r="K69" i="2" s="1" a="1"/>
  <c r="K69" i="2" s="1"/>
  <c r="S20" i="14"/>
  <c r="L69" i="2" s="1" a="1"/>
  <c r="L69" i="2" s="1"/>
  <c r="P84" i="14"/>
  <c r="M66" i="2" s="1" a="1"/>
  <c r="M66" i="2" s="1"/>
  <c r="Q84" i="14"/>
  <c r="N66" i="2" s="1" a="1"/>
  <c r="N66" i="2" s="1"/>
  <c r="R84" i="14"/>
  <c r="K66" i="2" s="1" a="1"/>
  <c r="K66" i="2" s="1"/>
  <c r="S84" i="14"/>
  <c r="L66" i="2" s="1" a="1"/>
  <c r="L66" i="2" s="1"/>
  <c r="P85" i="14"/>
  <c r="M65" i="2" s="1" a="1"/>
  <c r="M65" i="2" s="1"/>
  <c r="Q85" i="14"/>
  <c r="N65" i="2" s="1" a="1"/>
  <c r="N65" i="2" s="1"/>
  <c r="R85" i="14"/>
  <c r="K65" i="2" s="1" a="1"/>
  <c r="K65" i="2" s="1"/>
  <c r="S85" i="14"/>
  <c r="L65" i="2" s="1" a="1"/>
  <c r="L65" i="2" s="1"/>
  <c r="P15" i="14"/>
  <c r="M26" i="2" s="1" a="1"/>
  <c r="M26" i="2" s="1"/>
  <c r="Q15" i="14"/>
  <c r="N26" i="2" s="1" a="1"/>
  <c r="N26" i="2" s="1"/>
  <c r="R15" i="14"/>
  <c r="K26" i="2" s="1" a="1"/>
  <c r="K26" i="2" s="1"/>
  <c r="S15" i="14"/>
  <c r="L26" i="2" s="1" a="1"/>
  <c r="L26" i="2" s="1"/>
  <c r="P86" i="14"/>
  <c r="Q86" i="14"/>
  <c r="R86" i="14"/>
  <c r="S86" i="14"/>
  <c r="K56" i="2" l="1" a="1"/>
  <c r="K56" i="2" s="1"/>
  <c r="K57" i="2" a="1"/>
  <c r="K57" i="2" s="1"/>
  <c r="N56" i="2" a="1"/>
  <c r="N56" i="2" s="1"/>
  <c r="N57" i="2" a="1"/>
  <c r="N57" i="2" s="1"/>
  <c r="M56" i="2" a="1"/>
  <c r="M56" i="2" s="1"/>
  <c r="M57" i="2" a="1"/>
  <c r="M57" i="2" s="1"/>
  <c r="L56" i="2" a="1"/>
  <c r="L56" i="2" s="1"/>
  <c r="L57" i="2" a="1"/>
  <c r="L57" i="2" s="1"/>
  <c r="Y71" i="2"/>
  <c r="W71" i="2"/>
  <c r="X71" i="2"/>
  <c r="V71" i="2"/>
  <c r="V59" i="2"/>
  <c r="W59" i="2"/>
  <c r="R59" i="2"/>
  <c r="Y59" i="2"/>
  <c r="X59" i="2"/>
  <c r="P16" i="2"/>
  <c r="V16" i="2" s="1"/>
  <c r="P54" i="2"/>
  <c r="P73" i="2"/>
  <c r="V55" i="2"/>
  <c r="W55" i="2"/>
  <c r="Y55" i="2"/>
  <c r="X55" i="2"/>
  <c r="R55" i="2"/>
  <c r="DB62" i="1"/>
  <c r="DC59" i="1"/>
  <c r="DC60" i="1"/>
  <c r="DB61" i="1"/>
  <c r="DC61" i="1"/>
  <c r="DC62" i="1"/>
  <c r="W54" i="2" l="1"/>
  <c r="V54" i="2"/>
  <c r="Y54" i="2"/>
  <c r="R54" i="2"/>
  <c r="X54" i="2"/>
  <c r="X73" i="2"/>
  <c r="R73" i="2"/>
  <c r="Y73" i="2"/>
  <c r="W73" i="2"/>
  <c r="V73" i="2"/>
  <c r="R16" i="2"/>
  <c r="Y16" i="2"/>
  <c r="X16" i="2"/>
  <c r="W16" i="2"/>
  <c r="P56" i="2"/>
  <c r="Y56" i="2" s="1"/>
  <c r="P48" i="2"/>
  <c r="P30" i="2"/>
  <c r="Y30" i="2" s="1"/>
  <c r="P69" i="2"/>
  <c r="W69" i="2" s="1"/>
  <c r="P17" i="2"/>
  <c r="V17" i="2" s="1"/>
  <c r="P40" i="2"/>
  <c r="R40" i="2" s="1"/>
  <c r="P66" i="2"/>
  <c r="X66" i="2" s="1"/>
  <c r="P65" i="2"/>
  <c r="R65" i="2" s="1"/>
  <c r="P57" i="2"/>
  <c r="V57" i="2" s="1"/>
  <c r="P63" i="2"/>
  <c r="R63" i="2" s="1"/>
  <c r="P34" i="2"/>
  <c r="X34" i="2" s="1"/>
  <c r="DB59" i="1"/>
  <c r="CX2" i="1"/>
  <c r="DB60" i="1"/>
  <c r="U41" i="2" l="1"/>
  <c r="T41" i="2"/>
  <c r="W56" i="2"/>
  <c r="X56" i="2"/>
  <c r="R56" i="2"/>
  <c r="V56" i="2"/>
  <c r="V48" i="2"/>
  <c r="W48" i="2"/>
  <c r="X48" i="2"/>
  <c r="R48" i="2"/>
  <c r="Y48" i="2"/>
  <c r="R57" i="2"/>
  <c r="X57" i="2"/>
  <c r="Y57" i="2"/>
  <c r="W57" i="2"/>
  <c r="R66" i="2"/>
  <c r="V40" i="2"/>
  <c r="V69" i="2"/>
  <c r="X30" i="2"/>
  <c r="V66" i="2"/>
  <c r="W66" i="2"/>
  <c r="Y40" i="2"/>
  <c r="R30" i="2"/>
  <c r="W30" i="2"/>
  <c r="Y63" i="2"/>
  <c r="V30" i="2"/>
  <c r="W17" i="2"/>
  <c r="X65" i="2"/>
  <c r="Y66" i="2"/>
  <c r="V65" i="2"/>
  <c r="X63" i="2"/>
  <c r="W63" i="2"/>
  <c r="Y17" i="2"/>
  <c r="X40" i="2"/>
  <c r="Y69" i="2"/>
  <c r="W40" i="2"/>
  <c r="X69" i="2"/>
  <c r="R69" i="2"/>
  <c r="W65" i="2"/>
  <c r="X17" i="2"/>
  <c r="R17" i="2"/>
  <c r="Y65" i="2"/>
  <c r="Y34" i="2"/>
  <c r="R34" i="2"/>
  <c r="V34" i="2"/>
  <c r="V63" i="2"/>
  <c r="W34" i="2"/>
  <c r="P79" i="14"/>
  <c r="M3" i="2" s="1" a="1"/>
  <c r="M3" i="2" s="1"/>
  <c r="Q79" i="14"/>
  <c r="N3" i="2" s="1" a="1"/>
  <c r="N3" i="2" s="1"/>
  <c r="R79" i="14"/>
  <c r="K3" i="2" s="1" a="1"/>
  <c r="K3" i="2" s="1"/>
  <c r="S79" i="14"/>
  <c r="L3" i="2" s="1" a="1"/>
  <c r="L3" i="2" s="1"/>
  <c r="P80" i="14"/>
  <c r="M92" i="2" s="1" a="1"/>
  <c r="M92" i="2" s="1"/>
  <c r="Q80" i="14"/>
  <c r="N92" i="2" s="1" a="1"/>
  <c r="N92" i="2" s="1"/>
  <c r="R80" i="14"/>
  <c r="K92" i="2" s="1" a="1"/>
  <c r="K92" i="2" s="1"/>
  <c r="S80" i="14"/>
  <c r="L92" i="2" s="1" a="1"/>
  <c r="L92" i="2" s="1"/>
  <c r="DC4" i="1"/>
  <c r="P3" i="2" l="1"/>
  <c r="X3" i="2" s="1"/>
  <c r="P49" i="2"/>
  <c r="DC46" i="1"/>
  <c r="DC22" i="1"/>
  <c r="P77" i="2" l="1"/>
  <c r="Y77" i="2" s="1"/>
  <c r="P92" i="2"/>
  <c r="W49" i="2"/>
  <c r="R49" i="2"/>
  <c r="V49" i="2"/>
  <c r="Y49" i="2"/>
  <c r="X49" i="2"/>
  <c r="P22" i="14"/>
  <c r="M23" i="2" s="1" a="1"/>
  <c r="M23" i="2" s="1"/>
  <c r="P23" i="14"/>
  <c r="M60" i="2" s="1" a="1"/>
  <c r="M60" i="2" s="1"/>
  <c r="P24" i="14"/>
  <c r="M101" i="2" s="1" a="1"/>
  <c r="M101" i="2" s="1"/>
  <c r="P25" i="14"/>
  <c r="M24" i="2" s="1" a="1"/>
  <c r="M24" i="2" s="1"/>
  <c r="P26" i="14"/>
  <c r="M105" i="2" s="1" a="1"/>
  <c r="M105" i="2" s="1"/>
  <c r="P27" i="14"/>
  <c r="M9" i="2" s="1" a="1"/>
  <c r="M9" i="2" s="1"/>
  <c r="P28" i="14"/>
  <c r="M41" i="2" s="1" a="1"/>
  <c r="M41" i="2" s="1"/>
  <c r="P71" i="14"/>
  <c r="M33" i="2" s="1" a="1"/>
  <c r="M33" i="2" s="1"/>
  <c r="P29" i="14"/>
  <c r="M18" i="2" s="1" a="1"/>
  <c r="M18" i="2" s="1"/>
  <c r="P30" i="14"/>
  <c r="M12" i="2" s="1" a="1"/>
  <c r="M12" i="2" s="1"/>
  <c r="P31" i="14"/>
  <c r="M51" i="2" s="1" a="1"/>
  <c r="M51" i="2" s="1"/>
  <c r="P32" i="14"/>
  <c r="M28" i="2" s="1" a="1"/>
  <c r="M28" i="2" s="1"/>
  <c r="P33" i="14"/>
  <c r="M39" i="2" s="1" a="1"/>
  <c r="M39" i="2" s="1"/>
  <c r="P34" i="14"/>
  <c r="M11" i="2" s="1" a="1"/>
  <c r="M11" i="2" s="1"/>
  <c r="P35" i="14"/>
  <c r="M20" i="2" s="1" a="1"/>
  <c r="M20" i="2" s="1"/>
  <c r="P72" i="14"/>
  <c r="M80" i="2" s="1" a="1"/>
  <c r="M80" i="2" s="1"/>
  <c r="P36" i="14"/>
  <c r="P37" i="14"/>
  <c r="M35" i="2" s="1" a="1"/>
  <c r="M35" i="2" s="1"/>
  <c r="P7" i="14"/>
  <c r="M103" i="2" s="1" a="1"/>
  <c r="M103" i="2" s="1"/>
  <c r="P13" i="14"/>
  <c r="M27" i="2" s="1" a="1"/>
  <c r="M27" i="2" s="1"/>
  <c r="P87" i="14"/>
  <c r="M72" i="2" s="1" a="1"/>
  <c r="M72" i="2" s="1"/>
  <c r="P38" i="14"/>
  <c r="M50" i="2" s="1" a="1"/>
  <c r="M50" i="2" s="1"/>
  <c r="P39" i="14"/>
  <c r="M94" i="2" s="1" a="1"/>
  <c r="M94" i="2" s="1"/>
  <c r="P40" i="14"/>
  <c r="M99" i="2" s="1" a="1"/>
  <c r="M99" i="2" s="1"/>
  <c r="P41" i="14"/>
  <c r="M43" i="2" s="1" a="1"/>
  <c r="M43" i="2" s="1"/>
  <c r="P12" i="14"/>
  <c r="M70" i="2" s="1" a="1"/>
  <c r="M70" i="2" s="1"/>
  <c r="P42" i="14"/>
  <c r="M74" i="2" s="1" a="1"/>
  <c r="M74" i="2" s="1"/>
  <c r="P73" i="14"/>
  <c r="M19" i="2" s="1" a="1"/>
  <c r="M19" i="2" s="1"/>
  <c r="P43" i="14"/>
  <c r="M98" i="2" s="1" a="1"/>
  <c r="M98" i="2" s="1"/>
  <c r="P44" i="14"/>
  <c r="M5" i="2" s="1" a="1"/>
  <c r="M5" i="2" s="1"/>
  <c r="P45" i="14"/>
  <c r="M76" i="2" s="1" a="1"/>
  <c r="M76" i="2" s="1"/>
  <c r="P74" i="14"/>
  <c r="M45" i="2" s="1" a="1"/>
  <c r="M45" i="2" s="1"/>
  <c r="P46" i="14"/>
  <c r="M44" i="2" s="1" a="1"/>
  <c r="M44" i="2" s="1"/>
  <c r="P47" i="14"/>
  <c r="M4" i="2" s="1" a="1"/>
  <c r="M4" i="2" s="1"/>
  <c r="P48" i="14"/>
  <c r="M14" i="2" s="1" a="1"/>
  <c r="M14" i="2" s="1"/>
  <c r="P49" i="14"/>
  <c r="M97" i="2" s="1" a="1"/>
  <c r="M97" i="2" s="1"/>
  <c r="P50" i="14"/>
  <c r="M6" i="2" s="1" a="1"/>
  <c r="M6" i="2" s="1"/>
  <c r="P51" i="14"/>
  <c r="M47" i="2" s="1" a="1"/>
  <c r="M47" i="2" s="1"/>
  <c r="P75" i="14"/>
  <c r="M31" i="2" s="1" a="1"/>
  <c r="M31" i="2" s="1"/>
  <c r="P52" i="14"/>
  <c r="M36" i="2" s="1" a="1"/>
  <c r="M36" i="2" s="1"/>
  <c r="P53" i="14"/>
  <c r="M79" i="2" s="1" a="1"/>
  <c r="M79" i="2" s="1"/>
  <c r="P54" i="14"/>
  <c r="M22" i="2" s="1" a="1"/>
  <c r="M22" i="2" s="1"/>
  <c r="P76" i="14"/>
  <c r="P55" i="14"/>
  <c r="M37" i="2" s="1" a="1"/>
  <c r="M37" i="2" s="1"/>
  <c r="P56" i="14"/>
  <c r="M42" i="2" s="1" a="1"/>
  <c r="M42" i="2" s="1"/>
  <c r="P57" i="14"/>
  <c r="M81" i="2" s="1" a="1"/>
  <c r="M81" i="2" s="1"/>
  <c r="P58" i="14"/>
  <c r="M52" i="2" s="1" a="1"/>
  <c r="M52" i="2" s="1"/>
  <c r="P59" i="14"/>
  <c r="M13" i="2" s="1" a="1"/>
  <c r="M13" i="2" s="1"/>
  <c r="P60" i="14"/>
  <c r="M100" i="2" s="1" a="1"/>
  <c r="M100" i="2" s="1"/>
  <c r="P61" i="14"/>
  <c r="M96" i="2" s="1" a="1"/>
  <c r="M96" i="2" s="1"/>
  <c r="P62" i="14"/>
  <c r="M25" i="2" s="1" a="1"/>
  <c r="M25" i="2" s="1"/>
  <c r="P63" i="14"/>
  <c r="M38" i="2" s="1" a="1"/>
  <c r="M38" i="2" s="1"/>
  <c r="P64" i="14"/>
  <c r="M21" i="2" s="1" a="1"/>
  <c r="M21" i="2" s="1"/>
  <c r="P65" i="14"/>
  <c r="M102" i="2" s="1" a="1"/>
  <c r="M102" i="2" s="1"/>
  <c r="P66" i="14"/>
  <c r="M15" i="2" s="1" a="1"/>
  <c r="M15" i="2" s="1"/>
  <c r="P77" i="14"/>
  <c r="M58" i="2" s="1" a="1"/>
  <c r="M58" i="2" s="1"/>
  <c r="P70" i="14"/>
  <c r="M67" i="2" s="1" a="1"/>
  <c r="M67" i="2" s="1"/>
  <c r="P67" i="14"/>
  <c r="M61" i="2" s="1" a="1"/>
  <c r="M61" i="2" s="1"/>
  <c r="P78" i="14"/>
  <c r="M82" i="2" s="1" a="1"/>
  <c r="M82" i="2" s="1"/>
  <c r="P68" i="14"/>
  <c r="M10" i="2" s="1" a="1"/>
  <c r="M10" i="2" s="1"/>
  <c r="P69" i="14"/>
  <c r="M7" i="2" s="1" a="1"/>
  <c r="M7" i="2" s="1"/>
  <c r="P18" i="14"/>
  <c r="M95" i="2" s="1" a="1"/>
  <c r="M95" i="2" s="1"/>
  <c r="M64" i="2" l="1" a="1"/>
  <c r="M64" i="2" s="1"/>
  <c r="M32" i="2" a="1"/>
  <c r="M32" i="2" s="1"/>
  <c r="V92" i="2"/>
  <c r="W92" i="2"/>
  <c r="X92" i="2"/>
  <c r="Y92" i="2"/>
  <c r="R92" i="2"/>
  <c r="V77" i="2"/>
  <c r="X77" i="2"/>
  <c r="W77" i="2"/>
  <c r="R77" i="2"/>
  <c r="DC7" i="1"/>
  <c r="S72" i="14" l="1"/>
  <c r="L80" i="2" s="1" a="1"/>
  <c r="L80" i="2" s="1"/>
  <c r="R72" i="14"/>
  <c r="K80" i="2" s="1" a="1"/>
  <c r="K80" i="2" s="1"/>
  <c r="Q72" i="14"/>
  <c r="N80" i="2" s="1" a="1"/>
  <c r="N80" i="2" s="1"/>
  <c r="S35" i="14"/>
  <c r="L20" i="2" s="1" a="1"/>
  <c r="L20" i="2" s="1"/>
  <c r="R35" i="14"/>
  <c r="K20" i="2" s="1" a="1"/>
  <c r="K20" i="2" s="1"/>
  <c r="Q35" i="14"/>
  <c r="N20" i="2" s="1" a="1"/>
  <c r="N20" i="2" s="1"/>
  <c r="S34" i="14"/>
  <c r="L11" i="2" s="1" a="1"/>
  <c r="L11" i="2" s="1"/>
  <c r="R34" i="14"/>
  <c r="K11" i="2" s="1" a="1"/>
  <c r="K11" i="2" s="1"/>
  <c r="Q34" i="14"/>
  <c r="N11" i="2" s="1" a="1"/>
  <c r="N11" i="2" s="1"/>
  <c r="S33" i="14"/>
  <c r="L39" i="2" s="1" a="1"/>
  <c r="L39" i="2" s="1"/>
  <c r="R33" i="14"/>
  <c r="K39" i="2" s="1" a="1"/>
  <c r="K39" i="2" s="1"/>
  <c r="Q33" i="14"/>
  <c r="N39" i="2" s="1" a="1"/>
  <c r="N39" i="2" s="1"/>
  <c r="S32" i="14"/>
  <c r="L28" i="2" s="1" a="1"/>
  <c r="L28" i="2" s="1"/>
  <c r="R32" i="14"/>
  <c r="K28" i="2" s="1" a="1"/>
  <c r="K28" i="2" s="1"/>
  <c r="Q32" i="14"/>
  <c r="N28" i="2" s="1" a="1"/>
  <c r="N28" i="2" s="1"/>
  <c r="S31" i="14"/>
  <c r="L51" i="2" s="1" a="1"/>
  <c r="L51" i="2" s="1"/>
  <c r="R31" i="14"/>
  <c r="K51" i="2" s="1" a="1"/>
  <c r="K51" i="2" s="1"/>
  <c r="Q31" i="14"/>
  <c r="N51" i="2" s="1" a="1"/>
  <c r="N51" i="2" s="1"/>
  <c r="S30" i="14"/>
  <c r="L12" i="2" s="1" a="1"/>
  <c r="L12" i="2" s="1"/>
  <c r="R30" i="14"/>
  <c r="K12" i="2" s="1" a="1"/>
  <c r="K12" i="2" s="1"/>
  <c r="Q30" i="14"/>
  <c r="N12" i="2" s="1" a="1"/>
  <c r="N12" i="2" s="1"/>
  <c r="S29" i="14"/>
  <c r="L18" i="2" s="1" a="1"/>
  <c r="L18" i="2" s="1"/>
  <c r="R29" i="14"/>
  <c r="K18" i="2" s="1" a="1"/>
  <c r="K18" i="2" s="1"/>
  <c r="Q29" i="14"/>
  <c r="N18" i="2" s="1" a="1"/>
  <c r="N18" i="2" s="1"/>
  <c r="S71" i="14"/>
  <c r="L33" i="2" s="1" a="1"/>
  <c r="L33" i="2" s="1"/>
  <c r="R71" i="14"/>
  <c r="K33" i="2" s="1" a="1"/>
  <c r="K33" i="2" s="1"/>
  <c r="Q71" i="14"/>
  <c r="N33" i="2" s="1" a="1"/>
  <c r="N33" i="2" s="1"/>
  <c r="S28" i="14"/>
  <c r="L41" i="2" s="1" a="1"/>
  <c r="L41" i="2" s="1"/>
  <c r="R28" i="14"/>
  <c r="K41" i="2" s="1" a="1"/>
  <c r="K41" i="2" s="1"/>
  <c r="Q28" i="14"/>
  <c r="N41" i="2" s="1" a="1"/>
  <c r="N41" i="2" s="1"/>
  <c r="S27" i="14"/>
  <c r="L9" i="2" s="1" a="1"/>
  <c r="L9" i="2" s="1"/>
  <c r="R27" i="14"/>
  <c r="K9" i="2" s="1" a="1"/>
  <c r="K9" i="2" s="1"/>
  <c r="Q27" i="14"/>
  <c r="N9" i="2" s="1" a="1"/>
  <c r="N9" i="2" s="1"/>
  <c r="S26" i="14"/>
  <c r="L105" i="2" s="1" a="1"/>
  <c r="L105" i="2" s="1"/>
  <c r="R26" i="14"/>
  <c r="K105" i="2" s="1" a="1"/>
  <c r="K105" i="2" s="1"/>
  <c r="Q26" i="14"/>
  <c r="N105" i="2" s="1" a="1"/>
  <c r="N105" i="2" s="1"/>
  <c r="S25" i="14"/>
  <c r="L24" i="2" s="1" a="1"/>
  <c r="L24" i="2" s="1"/>
  <c r="R25" i="14"/>
  <c r="K24" i="2" s="1" a="1"/>
  <c r="K24" i="2" s="1"/>
  <c r="Q25" i="14"/>
  <c r="N24" i="2" s="1" a="1"/>
  <c r="N24" i="2" s="1"/>
  <c r="S24" i="14"/>
  <c r="L101" i="2" s="1" a="1"/>
  <c r="L101" i="2" s="1"/>
  <c r="R24" i="14"/>
  <c r="K101" i="2" s="1" a="1"/>
  <c r="K101" i="2" s="1"/>
  <c r="Q24" i="14"/>
  <c r="N101" i="2" s="1" a="1"/>
  <c r="N101" i="2" s="1"/>
  <c r="S23" i="14"/>
  <c r="L60" i="2" s="1" a="1"/>
  <c r="L60" i="2" s="1"/>
  <c r="R23" i="14"/>
  <c r="K60" i="2" s="1" a="1"/>
  <c r="K60" i="2" s="1"/>
  <c r="Q23" i="14"/>
  <c r="N60" i="2" s="1" a="1"/>
  <c r="N60" i="2" s="1"/>
  <c r="S22" i="14"/>
  <c r="L23" i="2" s="1" a="1"/>
  <c r="L23" i="2" s="1"/>
  <c r="R22" i="14"/>
  <c r="K23" i="2" s="1" a="1"/>
  <c r="K23" i="2" s="1"/>
  <c r="Q22" i="14"/>
  <c r="N23" i="2" s="1" a="1"/>
  <c r="N23" i="2" s="1"/>
  <c r="S37" i="14"/>
  <c r="L35" i="2" s="1" a="1"/>
  <c r="L35" i="2" s="1"/>
  <c r="R37" i="14"/>
  <c r="K35" i="2" s="1" a="1"/>
  <c r="K35" i="2" s="1"/>
  <c r="Q37" i="14"/>
  <c r="N35" i="2" s="1" a="1"/>
  <c r="N35" i="2" s="1"/>
  <c r="S69" i="14"/>
  <c r="L7" i="2" s="1" a="1"/>
  <c r="L7" i="2" s="1"/>
  <c r="R69" i="14"/>
  <c r="K7" i="2" s="1" a="1"/>
  <c r="K7" i="2" s="1"/>
  <c r="Q69" i="14"/>
  <c r="N7" i="2" s="1" a="1"/>
  <c r="N7" i="2" s="1"/>
  <c r="S68" i="14"/>
  <c r="L10" i="2" s="1" a="1"/>
  <c r="L10" i="2" s="1"/>
  <c r="R68" i="14"/>
  <c r="K10" i="2" s="1" a="1"/>
  <c r="K10" i="2" s="1"/>
  <c r="Q68" i="14"/>
  <c r="N10" i="2" s="1" a="1"/>
  <c r="N10" i="2" s="1"/>
  <c r="S18" i="14"/>
  <c r="L95" i="2" s="1" a="1"/>
  <c r="L95" i="2" s="1"/>
  <c r="R18" i="14"/>
  <c r="K95" i="2" s="1" a="1"/>
  <c r="K95" i="2" s="1"/>
  <c r="Q18" i="14"/>
  <c r="N95" i="2" s="1" a="1"/>
  <c r="N95" i="2" s="1"/>
  <c r="S78" i="14"/>
  <c r="L82" i="2" s="1" a="1"/>
  <c r="L82" i="2" s="1"/>
  <c r="R78" i="14"/>
  <c r="K82" i="2" s="1" a="1"/>
  <c r="K82" i="2" s="1"/>
  <c r="Q78" i="14"/>
  <c r="N82" i="2" s="1" a="1"/>
  <c r="N82" i="2" s="1"/>
  <c r="S67" i="14"/>
  <c r="L61" i="2" s="1" a="1"/>
  <c r="L61" i="2" s="1"/>
  <c r="R67" i="14"/>
  <c r="K61" i="2" s="1" a="1"/>
  <c r="K61" i="2" s="1"/>
  <c r="Q67" i="14"/>
  <c r="N61" i="2" s="1" a="1"/>
  <c r="N61" i="2" s="1"/>
  <c r="S70" i="14"/>
  <c r="L67" i="2" s="1" a="1"/>
  <c r="L67" i="2" s="1"/>
  <c r="R70" i="14"/>
  <c r="K67" i="2" s="1" a="1"/>
  <c r="K67" i="2" s="1"/>
  <c r="Q70" i="14"/>
  <c r="N67" i="2" s="1" a="1"/>
  <c r="N67" i="2" s="1"/>
  <c r="S77" i="14"/>
  <c r="L58" i="2" s="1" a="1"/>
  <c r="L58" i="2" s="1"/>
  <c r="R77" i="14"/>
  <c r="K58" i="2" s="1" a="1"/>
  <c r="K58" i="2" s="1"/>
  <c r="Q77" i="14"/>
  <c r="N58" i="2" s="1" a="1"/>
  <c r="N58" i="2" s="1"/>
  <c r="S64" i="14"/>
  <c r="L21" i="2" s="1" a="1"/>
  <c r="L21" i="2" s="1"/>
  <c r="R64" i="14"/>
  <c r="K21" i="2" s="1" a="1"/>
  <c r="K21" i="2" s="1"/>
  <c r="Q64" i="14"/>
  <c r="N21" i="2" s="1" a="1"/>
  <c r="N21" i="2" s="1"/>
  <c r="S65" i="14"/>
  <c r="L102" i="2" s="1" a="1"/>
  <c r="L102" i="2" s="1"/>
  <c r="R65" i="14"/>
  <c r="K102" i="2" s="1" a="1"/>
  <c r="K102" i="2" s="1"/>
  <c r="Q65" i="14"/>
  <c r="N102" i="2" s="1" a="1"/>
  <c r="N102" i="2" s="1"/>
  <c r="S66" i="14"/>
  <c r="L15" i="2" s="1" a="1"/>
  <c r="L15" i="2" s="1"/>
  <c r="R66" i="14"/>
  <c r="K15" i="2" s="1" a="1"/>
  <c r="K15" i="2" s="1"/>
  <c r="Q66" i="14"/>
  <c r="N15" i="2" s="1" a="1"/>
  <c r="N15" i="2" s="1"/>
  <c r="S62" i="14"/>
  <c r="L25" i="2" s="1" a="1"/>
  <c r="L25" i="2" s="1"/>
  <c r="R62" i="14"/>
  <c r="K25" i="2" s="1" a="1"/>
  <c r="K25" i="2" s="1"/>
  <c r="Q62" i="14"/>
  <c r="N25" i="2" s="1" a="1"/>
  <c r="N25" i="2" s="1"/>
  <c r="S63" i="14"/>
  <c r="L38" i="2" s="1" a="1"/>
  <c r="L38" i="2" s="1"/>
  <c r="R63" i="14"/>
  <c r="K38" i="2" s="1" a="1"/>
  <c r="K38" i="2" s="1"/>
  <c r="Q63" i="14"/>
  <c r="N38" i="2" s="1" a="1"/>
  <c r="N38" i="2" s="1"/>
  <c r="S60" i="14"/>
  <c r="L100" i="2" s="1" a="1"/>
  <c r="L100" i="2" s="1"/>
  <c r="R60" i="14"/>
  <c r="K100" i="2" s="1" a="1"/>
  <c r="K100" i="2" s="1"/>
  <c r="Q60" i="14"/>
  <c r="N100" i="2" s="1" a="1"/>
  <c r="N100" i="2" s="1"/>
  <c r="S59" i="14"/>
  <c r="L13" i="2" s="1" a="1"/>
  <c r="L13" i="2" s="1"/>
  <c r="R59" i="14"/>
  <c r="K13" i="2" s="1" a="1"/>
  <c r="K13" i="2" s="1"/>
  <c r="Q59" i="14"/>
  <c r="N13" i="2" s="1" a="1"/>
  <c r="N13" i="2" s="1"/>
  <c r="S58" i="14"/>
  <c r="L52" i="2" s="1" a="1"/>
  <c r="L52" i="2" s="1"/>
  <c r="R58" i="14"/>
  <c r="K52" i="2" s="1" a="1"/>
  <c r="K52" i="2" s="1"/>
  <c r="Q58" i="14"/>
  <c r="N52" i="2" s="1" a="1"/>
  <c r="N52" i="2" s="1"/>
  <c r="S57" i="14"/>
  <c r="L81" i="2" s="1" a="1"/>
  <c r="L81" i="2" s="1"/>
  <c r="R57" i="14"/>
  <c r="K81" i="2" s="1" a="1"/>
  <c r="K81" i="2" s="1"/>
  <c r="Q57" i="14"/>
  <c r="N81" i="2" s="1" a="1"/>
  <c r="N81" i="2" s="1"/>
  <c r="S56" i="14"/>
  <c r="L42" i="2" s="1" a="1"/>
  <c r="L42" i="2" s="1"/>
  <c r="R56" i="14"/>
  <c r="K42" i="2" s="1" a="1"/>
  <c r="K42" i="2" s="1"/>
  <c r="Q56" i="14"/>
  <c r="N42" i="2" s="1" a="1"/>
  <c r="N42" i="2" s="1"/>
  <c r="S61" i="14"/>
  <c r="L96" i="2" s="1" a="1"/>
  <c r="L96" i="2" s="1"/>
  <c r="R61" i="14"/>
  <c r="K96" i="2" s="1" a="1"/>
  <c r="K96" i="2" s="1"/>
  <c r="Q61" i="14"/>
  <c r="N96" i="2" s="1" a="1"/>
  <c r="N96" i="2" s="1"/>
  <c r="S76" i="14"/>
  <c r="R76" i="14"/>
  <c r="Q76" i="14"/>
  <c r="S55" i="14"/>
  <c r="L37" i="2" s="1" a="1"/>
  <c r="L37" i="2" s="1"/>
  <c r="R55" i="14"/>
  <c r="K37" i="2" s="1" a="1"/>
  <c r="K37" i="2" s="1"/>
  <c r="Q55" i="14"/>
  <c r="N37" i="2" s="1" a="1"/>
  <c r="N37" i="2" s="1"/>
  <c r="S54" i="14"/>
  <c r="L22" i="2" s="1" a="1"/>
  <c r="L22" i="2" s="1"/>
  <c r="R54" i="14"/>
  <c r="K22" i="2" s="1" a="1"/>
  <c r="K22" i="2" s="1"/>
  <c r="Q54" i="14"/>
  <c r="N22" i="2" s="1" a="1"/>
  <c r="N22" i="2" s="1"/>
  <c r="S53" i="14"/>
  <c r="L79" i="2" s="1" a="1"/>
  <c r="L79" i="2" s="1"/>
  <c r="R53" i="14"/>
  <c r="K79" i="2" s="1" a="1"/>
  <c r="K79" i="2" s="1"/>
  <c r="Q53" i="14"/>
  <c r="N79" i="2" s="1" a="1"/>
  <c r="N79" i="2" s="1"/>
  <c r="S52" i="14"/>
  <c r="L36" i="2" s="1" a="1"/>
  <c r="L36" i="2" s="1"/>
  <c r="R52" i="14"/>
  <c r="K36" i="2" s="1" a="1"/>
  <c r="K36" i="2" s="1"/>
  <c r="Q52" i="14"/>
  <c r="N36" i="2" s="1" a="1"/>
  <c r="N36" i="2" s="1"/>
  <c r="S75" i="14"/>
  <c r="L31" i="2" s="1" a="1"/>
  <c r="L31" i="2" s="1"/>
  <c r="R75" i="14"/>
  <c r="K31" i="2" s="1" a="1"/>
  <c r="K31" i="2" s="1"/>
  <c r="Q75" i="14"/>
  <c r="N31" i="2" s="1" a="1"/>
  <c r="N31" i="2" s="1"/>
  <c r="S51" i="14"/>
  <c r="L47" i="2" s="1" a="1"/>
  <c r="L47" i="2" s="1"/>
  <c r="R51" i="14"/>
  <c r="K47" i="2" s="1" a="1"/>
  <c r="K47" i="2" s="1"/>
  <c r="Q51" i="14"/>
  <c r="N47" i="2" s="1" a="1"/>
  <c r="N47" i="2" s="1"/>
  <c r="S50" i="14"/>
  <c r="L6" i="2" s="1" a="1"/>
  <c r="L6" i="2" s="1"/>
  <c r="R50" i="14"/>
  <c r="K6" i="2" s="1" a="1"/>
  <c r="K6" i="2" s="1"/>
  <c r="Q50" i="14"/>
  <c r="N6" i="2" s="1" a="1"/>
  <c r="N6" i="2" s="1"/>
  <c r="S49" i="14"/>
  <c r="L97" i="2" s="1" a="1"/>
  <c r="L97" i="2" s="1"/>
  <c r="R49" i="14"/>
  <c r="K97" i="2" s="1" a="1"/>
  <c r="K97" i="2" s="1"/>
  <c r="Q49" i="14"/>
  <c r="N97" i="2" s="1" a="1"/>
  <c r="N97" i="2" s="1"/>
  <c r="S48" i="14"/>
  <c r="L14" i="2" s="1" a="1"/>
  <c r="L14" i="2" s="1"/>
  <c r="R48" i="14"/>
  <c r="K14" i="2" s="1" a="1"/>
  <c r="K14" i="2" s="1"/>
  <c r="Q48" i="14"/>
  <c r="N14" i="2" s="1" a="1"/>
  <c r="N14" i="2" s="1"/>
  <c r="S47" i="14"/>
  <c r="L4" i="2" s="1" a="1"/>
  <c r="L4" i="2" s="1"/>
  <c r="R47" i="14"/>
  <c r="K4" i="2" s="1" a="1"/>
  <c r="K4" i="2" s="1"/>
  <c r="Q47" i="14"/>
  <c r="N4" i="2" s="1" a="1"/>
  <c r="N4" i="2" s="1"/>
  <c r="S46" i="14"/>
  <c r="L44" i="2" s="1" a="1"/>
  <c r="L44" i="2" s="1"/>
  <c r="R46" i="14"/>
  <c r="K44" i="2" s="1" a="1"/>
  <c r="K44" i="2" s="1"/>
  <c r="Q46" i="14"/>
  <c r="N44" i="2" s="1" a="1"/>
  <c r="N44" i="2" s="1"/>
  <c r="S74" i="14"/>
  <c r="L45" i="2" s="1" a="1"/>
  <c r="L45" i="2" s="1"/>
  <c r="R74" i="14"/>
  <c r="K45" i="2" s="1" a="1"/>
  <c r="K45" i="2" s="1"/>
  <c r="Q74" i="14"/>
  <c r="N45" i="2" s="1" a="1"/>
  <c r="N45" i="2" s="1"/>
  <c r="S45" i="14"/>
  <c r="L76" i="2" s="1" a="1"/>
  <c r="L76" i="2" s="1"/>
  <c r="R45" i="14"/>
  <c r="K76" i="2" s="1" a="1"/>
  <c r="K76" i="2" s="1"/>
  <c r="Q45" i="14"/>
  <c r="N76" i="2" s="1" a="1"/>
  <c r="N76" i="2" s="1"/>
  <c r="S44" i="14"/>
  <c r="L5" i="2" s="1" a="1"/>
  <c r="L5" i="2" s="1"/>
  <c r="R44" i="14"/>
  <c r="K5" i="2" s="1" a="1"/>
  <c r="K5" i="2" s="1"/>
  <c r="Q44" i="14"/>
  <c r="N5" i="2" s="1" a="1"/>
  <c r="N5" i="2" s="1"/>
  <c r="S43" i="14"/>
  <c r="L98" i="2" s="1" a="1"/>
  <c r="L98" i="2" s="1"/>
  <c r="R43" i="14"/>
  <c r="K98" i="2" s="1" a="1"/>
  <c r="K98" i="2" s="1"/>
  <c r="Q43" i="14"/>
  <c r="N98" i="2" s="1" a="1"/>
  <c r="N98" i="2" s="1"/>
  <c r="S73" i="14"/>
  <c r="L19" i="2" s="1" a="1"/>
  <c r="L19" i="2" s="1"/>
  <c r="R73" i="14"/>
  <c r="K19" i="2" s="1" a="1"/>
  <c r="K19" i="2" s="1"/>
  <c r="Q73" i="14"/>
  <c r="N19" i="2" s="1" a="1"/>
  <c r="N19" i="2" s="1"/>
  <c r="S42" i="14"/>
  <c r="L74" i="2" s="1" a="1"/>
  <c r="L74" i="2" s="1"/>
  <c r="R42" i="14"/>
  <c r="K74" i="2" s="1" a="1"/>
  <c r="K74" i="2" s="1"/>
  <c r="Q42" i="14"/>
  <c r="N74" i="2" s="1" a="1"/>
  <c r="N74" i="2" s="1"/>
  <c r="S41" i="14"/>
  <c r="L43" i="2" s="1" a="1"/>
  <c r="L43" i="2" s="1"/>
  <c r="R41" i="14"/>
  <c r="K43" i="2" s="1" a="1"/>
  <c r="K43" i="2" s="1"/>
  <c r="Q41" i="14"/>
  <c r="N43" i="2" s="1" a="1"/>
  <c r="N43" i="2" s="1"/>
  <c r="S12" i="14"/>
  <c r="L70" i="2" s="1" a="1"/>
  <c r="L70" i="2" s="1"/>
  <c r="R12" i="14"/>
  <c r="K70" i="2" s="1" a="1"/>
  <c r="K70" i="2" s="1"/>
  <c r="Q12" i="14"/>
  <c r="N70" i="2" s="1" a="1"/>
  <c r="N70" i="2" s="1"/>
  <c r="S87" i="14"/>
  <c r="L72" i="2" s="1" a="1"/>
  <c r="L72" i="2" s="1"/>
  <c r="R87" i="14"/>
  <c r="K72" i="2" s="1" a="1"/>
  <c r="K72" i="2" s="1"/>
  <c r="Q87" i="14"/>
  <c r="N72" i="2" s="1" a="1"/>
  <c r="N72" i="2" s="1"/>
  <c r="S40" i="14"/>
  <c r="L99" i="2" s="1" a="1"/>
  <c r="L99" i="2" s="1"/>
  <c r="R40" i="14"/>
  <c r="K99" i="2" s="1" a="1"/>
  <c r="K99" i="2" s="1"/>
  <c r="Q40" i="14"/>
  <c r="N99" i="2" s="1" a="1"/>
  <c r="N99" i="2" s="1"/>
  <c r="S39" i="14"/>
  <c r="L94" i="2" s="1" a="1"/>
  <c r="L94" i="2" s="1"/>
  <c r="R39" i="14"/>
  <c r="K94" i="2" s="1" a="1"/>
  <c r="K94" i="2" s="1"/>
  <c r="Q39" i="14"/>
  <c r="N94" i="2" s="1" a="1"/>
  <c r="N94" i="2" s="1"/>
  <c r="S36" i="14"/>
  <c r="R36" i="14"/>
  <c r="Q36" i="14"/>
  <c r="S13" i="14"/>
  <c r="L27" i="2" s="1" a="1"/>
  <c r="L27" i="2" s="1"/>
  <c r="R13" i="14"/>
  <c r="K27" i="2" s="1" a="1"/>
  <c r="K27" i="2" s="1"/>
  <c r="Q13" i="14"/>
  <c r="N27" i="2" s="1" a="1"/>
  <c r="N27" i="2" s="1"/>
  <c r="S7" i="14"/>
  <c r="L103" i="2" s="1" a="1"/>
  <c r="L103" i="2" s="1"/>
  <c r="R7" i="14"/>
  <c r="K103" i="2" s="1" a="1"/>
  <c r="K103" i="2" s="1"/>
  <c r="Q7" i="14"/>
  <c r="N103" i="2" s="1" a="1"/>
  <c r="N103" i="2" s="1"/>
  <c r="S38" i="14"/>
  <c r="L50" i="2" s="1" a="1"/>
  <c r="L50" i="2" s="1"/>
  <c r="R38" i="14"/>
  <c r="K50" i="2" s="1" a="1"/>
  <c r="K50" i="2" s="1"/>
  <c r="Q38" i="14"/>
  <c r="N50" i="2" s="1" a="1"/>
  <c r="N50" i="2" s="1"/>
  <c r="K64" i="2" l="1" a="1"/>
  <c r="K64" i="2" s="1"/>
  <c r="K32" i="2" a="1"/>
  <c r="K32" i="2" s="1"/>
  <c r="L64" i="2" a="1"/>
  <c r="L64" i="2" s="1"/>
  <c r="L32" i="2" a="1"/>
  <c r="L32" i="2" s="1"/>
  <c r="N64" i="2" a="1"/>
  <c r="N64" i="2" s="1"/>
  <c r="N32" i="2" a="1"/>
  <c r="N32" i="2" s="1"/>
  <c r="P103" i="2"/>
  <c r="P47" i="2"/>
  <c r="W47" i="2" s="1"/>
  <c r="P26" i="2"/>
  <c r="X26" i="2" s="1"/>
  <c r="P41" i="2"/>
  <c r="P39" i="2"/>
  <c r="X39" i="2" s="1"/>
  <c r="P20" i="2"/>
  <c r="W20" i="2" s="1"/>
  <c r="P101" i="2"/>
  <c r="P18" i="2"/>
  <c r="W18" i="2" s="1"/>
  <c r="P28" i="2"/>
  <c r="X28" i="2" s="1"/>
  <c r="P105" i="2"/>
  <c r="P23" i="2"/>
  <c r="P12" i="2"/>
  <c r="P60" i="2"/>
  <c r="P24" i="2"/>
  <c r="P51" i="2"/>
  <c r="P9" i="2"/>
  <c r="P11" i="2"/>
  <c r="DC35" i="1"/>
  <c r="DC36" i="1"/>
  <c r="DC55" i="1"/>
  <c r="DC56" i="1"/>
  <c r="DC57" i="1"/>
  <c r="DC58" i="1"/>
  <c r="P94" i="2" l="1"/>
  <c r="R60" i="2"/>
  <c r="W60" i="2"/>
  <c r="V60" i="2"/>
  <c r="Y60" i="2"/>
  <c r="X60" i="2"/>
  <c r="P37" i="2"/>
  <c r="Y37" i="2" s="1"/>
  <c r="P104" i="2"/>
  <c r="P72" i="2"/>
  <c r="P22" i="2"/>
  <c r="X22" i="2" s="1"/>
  <c r="P70" i="2"/>
  <c r="W70" i="2" s="1"/>
  <c r="P97" i="2"/>
  <c r="P14" i="2"/>
  <c r="X14" i="2" s="1"/>
  <c r="P67" i="2"/>
  <c r="R67" i="2" s="1"/>
  <c r="P89" i="2"/>
  <c r="P6" i="2"/>
  <c r="V6" i="2" s="1"/>
  <c r="P5" i="2"/>
  <c r="W5" i="2" s="1"/>
  <c r="P36" i="2"/>
  <c r="W36" i="2" s="1"/>
  <c r="P99" i="2"/>
  <c r="P82" i="2"/>
  <c r="R82" i="2" s="1"/>
  <c r="P76" i="2"/>
  <c r="Y76" i="2" s="1"/>
  <c r="P80" i="2"/>
  <c r="V80" i="2" s="1"/>
  <c r="P43" i="2"/>
  <c r="X43" i="2" s="1"/>
  <c r="P35" i="2"/>
  <c r="V35" i="2" s="1"/>
  <c r="P98" i="2"/>
  <c r="P42" i="2"/>
  <c r="W42" i="2" s="1"/>
  <c r="P81" i="2"/>
  <c r="P74" i="2"/>
  <c r="W74" i="2" s="1"/>
  <c r="P33" i="2"/>
  <c r="V33" i="2" s="1"/>
  <c r="P4" i="2"/>
  <c r="Y4" i="2" s="1"/>
  <c r="P79" i="2"/>
  <c r="P44" i="2"/>
  <c r="X44" i="2" s="1"/>
  <c r="P50" i="2"/>
  <c r="V50" i="2" s="1"/>
  <c r="P62" i="2"/>
  <c r="P32" i="2"/>
  <c r="X32" i="2" s="1"/>
  <c r="R12" i="2"/>
  <c r="V12" i="2"/>
  <c r="X12" i="2"/>
  <c r="Y12" i="2"/>
  <c r="W12" i="2"/>
  <c r="P13" i="2"/>
  <c r="P31" i="2"/>
  <c r="W26" i="2"/>
  <c r="P61" i="2"/>
  <c r="P38" i="2"/>
  <c r="X38" i="2" s="1"/>
  <c r="P58" i="2"/>
  <c r="X58" i="2" s="1"/>
  <c r="P52" i="2"/>
  <c r="Y52" i="2" s="1"/>
  <c r="P64" i="2"/>
  <c r="Y64" i="2" s="1"/>
  <c r="P27" i="2"/>
  <c r="X27" i="2" s="1"/>
  <c r="P7" i="2"/>
  <c r="X7" i="2" s="1"/>
  <c r="P100" i="2"/>
  <c r="P96" i="2"/>
  <c r="P15" i="2"/>
  <c r="W15" i="2" s="1"/>
  <c r="P10" i="2"/>
  <c r="W10" i="2" s="1"/>
  <c r="P25" i="2"/>
  <c r="Y25" i="2" s="1"/>
  <c r="Y26" i="2"/>
  <c r="P102" i="2"/>
  <c r="P95" i="2"/>
  <c r="P45" i="2"/>
  <c r="V45" i="2" s="1"/>
  <c r="V26" i="2"/>
  <c r="R26" i="2"/>
  <c r="P19" i="2"/>
  <c r="P21" i="2"/>
  <c r="R21" i="2" s="1"/>
  <c r="R18" i="2"/>
  <c r="Y28" i="2"/>
  <c r="R28" i="2"/>
  <c r="V18" i="2"/>
  <c r="Y18" i="2"/>
  <c r="Y47" i="2"/>
  <c r="X47" i="2"/>
  <c r="R47" i="2"/>
  <c r="V47" i="2"/>
  <c r="W39" i="2"/>
  <c r="V28" i="2"/>
  <c r="W28" i="2"/>
  <c r="R39" i="2"/>
  <c r="X18" i="2"/>
  <c r="Y20" i="2"/>
  <c r="V39" i="2"/>
  <c r="X20" i="2"/>
  <c r="Y39" i="2"/>
  <c r="V20" i="2"/>
  <c r="R20" i="2"/>
  <c r="X41" i="2"/>
  <c r="V41" i="2"/>
  <c r="W41" i="2"/>
  <c r="R41" i="2"/>
  <c r="Y41" i="2"/>
  <c r="W23" i="2"/>
  <c r="V23" i="2"/>
  <c r="R23" i="2"/>
  <c r="X23" i="2"/>
  <c r="Y23" i="2"/>
  <c r="V11" i="2"/>
  <c r="W11" i="2"/>
  <c r="R11" i="2"/>
  <c r="Y11" i="2"/>
  <c r="X11" i="2"/>
  <c r="R51" i="2"/>
  <c r="V51" i="2"/>
  <c r="W51" i="2"/>
  <c r="Y51" i="2"/>
  <c r="X51" i="2"/>
  <c r="V9" i="2"/>
  <c r="W9" i="2"/>
  <c r="R9" i="2"/>
  <c r="X9" i="2"/>
  <c r="Y9" i="2"/>
  <c r="X24" i="2"/>
  <c r="V24" i="2"/>
  <c r="W24" i="2"/>
  <c r="R24" i="2"/>
  <c r="Y24" i="2"/>
  <c r="DB56" i="1"/>
  <c r="DB58" i="1"/>
  <c r="R3" i="2" l="1"/>
  <c r="Y3" i="2"/>
  <c r="W3" i="2"/>
  <c r="R37" i="2"/>
  <c r="V89" i="2"/>
  <c r="R89" i="2"/>
  <c r="Y89" i="2"/>
  <c r="W89" i="2"/>
  <c r="X89" i="2"/>
  <c r="W61" i="2"/>
  <c r="V61" i="2"/>
  <c r="R61" i="2"/>
  <c r="X61" i="2"/>
  <c r="Y61" i="2"/>
  <c r="X79" i="2"/>
  <c r="R79" i="2"/>
  <c r="W79" i="2"/>
  <c r="V79" i="2"/>
  <c r="Y79" i="2"/>
  <c r="V37" i="2"/>
  <c r="W37" i="2"/>
  <c r="X37" i="2"/>
  <c r="R72" i="2"/>
  <c r="Y72" i="2"/>
  <c r="V72" i="2"/>
  <c r="W72" i="2"/>
  <c r="X72" i="2"/>
  <c r="V14" i="2"/>
  <c r="R14" i="2"/>
  <c r="V70" i="2"/>
  <c r="R22" i="2"/>
  <c r="X6" i="2"/>
  <c r="W6" i="2"/>
  <c r="R6" i="2"/>
  <c r="Y6" i="2"/>
  <c r="V22" i="2"/>
  <c r="Y22" i="2"/>
  <c r="W22" i="2"/>
  <c r="R70" i="2"/>
  <c r="Y70" i="2"/>
  <c r="X70" i="2"/>
  <c r="Y14" i="2"/>
  <c r="W14" i="2"/>
  <c r="V82" i="2"/>
  <c r="X80" i="2"/>
  <c r="Y43" i="2"/>
  <c r="W80" i="2"/>
  <c r="Y5" i="2"/>
  <c r="V5" i="2"/>
  <c r="R4" i="2"/>
  <c r="R80" i="2"/>
  <c r="R43" i="2"/>
  <c r="X4" i="2"/>
  <c r="V4" i="2"/>
  <c r="V42" i="2"/>
  <c r="V81" i="2"/>
  <c r="W81" i="2"/>
  <c r="X81" i="2"/>
  <c r="Y81" i="2"/>
  <c r="R81" i="2"/>
  <c r="W4" i="2"/>
  <c r="Y80" i="2"/>
  <c r="Y50" i="2"/>
  <c r="R36" i="2"/>
  <c r="V36" i="2"/>
  <c r="R76" i="2"/>
  <c r="X82" i="2"/>
  <c r="R5" i="2"/>
  <c r="X5" i="2"/>
  <c r="W82" i="2"/>
  <c r="R42" i="2"/>
  <c r="X42" i="2"/>
  <c r="Y42" i="2"/>
  <c r="X36" i="2"/>
  <c r="V43" i="2"/>
  <c r="Y36" i="2"/>
  <c r="W43" i="2"/>
  <c r="W76" i="2"/>
  <c r="V76" i="2"/>
  <c r="X76" i="2"/>
  <c r="Y82" i="2"/>
  <c r="Y35" i="2"/>
  <c r="Y44" i="2"/>
  <c r="X35" i="2"/>
  <c r="W44" i="2"/>
  <c r="R35" i="2"/>
  <c r="W35" i="2"/>
  <c r="Y33" i="2"/>
  <c r="X74" i="2"/>
  <c r="X33" i="2"/>
  <c r="Y74" i="2"/>
  <c r="R33" i="2"/>
  <c r="R74" i="2"/>
  <c r="W33" i="2"/>
  <c r="V74" i="2"/>
  <c r="R44" i="2"/>
  <c r="V44" i="2"/>
  <c r="R50" i="2"/>
  <c r="W50" i="2"/>
  <c r="X50" i="2"/>
  <c r="R62" i="2"/>
  <c r="V62" i="2"/>
  <c r="W62" i="2"/>
  <c r="Y62" i="2"/>
  <c r="X62" i="2"/>
  <c r="V3" i="2"/>
  <c r="Y32" i="2"/>
  <c r="W32" i="2"/>
  <c r="V32" i="2"/>
  <c r="R32" i="2"/>
  <c r="R13" i="2"/>
  <c r="W13" i="2"/>
  <c r="V13" i="2"/>
  <c r="Y13" i="2"/>
  <c r="X13" i="2"/>
  <c r="R19" i="2"/>
  <c r="V19" i="2"/>
  <c r="Y19" i="2"/>
  <c r="X19" i="2"/>
  <c r="W19" i="2"/>
  <c r="W31" i="2"/>
  <c r="Y31" i="2"/>
  <c r="R31" i="2"/>
  <c r="V31" i="2"/>
  <c r="X31" i="2"/>
  <c r="R38" i="2"/>
  <c r="R25" i="2"/>
  <c r="Y38" i="2"/>
  <c r="W58" i="2"/>
  <c r="W52" i="2"/>
  <c r="W25" i="2"/>
  <c r="V25" i="2"/>
  <c r="R52" i="2"/>
  <c r="V52" i="2"/>
  <c r="X25" i="2"/>
  <c r="R58" i="2"/>
  <c r="V64" i="2"/>
  <c r="X52" i="2"/>
  <c r="R10" i="2"/>
  <c r="W64" i="2"/>
  <c r="Y7" i="2"/>
  <c r="W27" i="2"/>
  <c r="R7" i="2"/>
  <c r="W7" i="2"/>
  <c r="V38" i="2"/>
  <c r="W38" i="2"/>
  <c r="V15" i="2"/>
  <c r="X15" i="2"/>
  <c r="Y27" i="2"/>
  <c r="X64" i="2"/>
  <c r="R27" i="2"/>
  <c r="R64" i="2"/>
  <c r="V27" i="2"/>
  <c r="R15" i="2"/>
  <c r="Y58" i="2"/>
  <c r="V10" i="2"/>
  <c r="X45" i="2"/>
  <c r="V58" i="2"/>
  <c r="X10" i="2"/>
  <c r="Y45" i="2"/>
  <c r="R45" i="2"/>
  <c r="W45" i="2"/>
  <c r="Y10" i="2"/>
  <c r="V7" i="2"/>
  <c r="Y67" i="2"/>
  <c r="X21" i="2"/>
  <c r="X67" i="2"/>
  <c r="W67" i="2"/>
  <c r="Y21" i="2"/>
  <c r="V67" i="2"/>
  <c r="W21" i="2"/>
  <c r="V21" i="2"/>
  <c r="Y15" i="2"/>
  <c r="DB57" i="1"/>
  <c r="DB36" i="1"/>
  <c r="DB55" i="1"/>
  <c r="DB35" i="1"/>
  <c r="DC23" i="1" l="1"/>
  <c r="DC24" i="1"/>
  <c r="DC25" i="1"/>
  <c r="DC37" i="1"/>
  <c r="DC26" i="1"/>
  <c r="DC48" i="1"/>
  <c r="DC38" i="1"/>
  <c r="DC27" i="1"/>
  <c r="DC28" i="1"/>
  <c r="DC39" i="1"/>
  <c r="DC49" i="1"/>
  <c r="DC40" i="1"/>
  <c r="DC41" i="1"/>
  <c r="DC42" i="1"/>
  <c r="DC43" i="1"/>
  <c r="DC44" i="1"/>
  <c r="DC45" i="1"/>
  <c r="DC50" i="1"/>
  <c r="DC51" i="1"/>
  <c r="DC31" i="1"/>
  <c r="DC32" i="1"/>
  <c r="DC33" i="1"/>
  <c r="DC52" i="1"/>
  <c r="DC29" i="1"/>
  <c r="DC30" i="1"/>
  <c r="DC53" i="1"/>
  <c r="DC54" i="1"/>
  <c r="DC34" i="1"/>
  <c r="DB48" i="1" l="1"/>
  <c r="DB34" i="1"/>
  <c r="DB53" i="1"/>
  <c r="DB29" i="1"/>
  <c r="DB33" i="1"/>
  <c r="DB31" i="1"/>
  <c r="DB50" i="1"/>
  <c r="DB44" i="1"/>
  <c r="DB42" i="1"/>
  <c r="DB40" i="1"/>
  <c r="DB39" i="1"/>
  <c r="DB27" i="1"/>
  <c r="DB37" i="1"/>
  <c r="DB54" i="1"/>
  <c r="DB30" i="1"/>
  <c r="DB52" i="1"/>
  <c r="DB32" i="1"/>
  <c r="DB51" i="1"/>
  <c r="DB45" i="1"/>
  <c r="DB43" i="1"/>
  <c r="DB41" i="1"/>
  <c r="DB49" i="1"/>
  <c r="DB28" i="1"/>
  <c r="DB38" i="1"/>
  <c r="DB26" i="1"/>
  <c r="DB46" i="1" l="1"/>
  <c r="DB24" i="1"/>
  <c r="DB22" i="1"/>
  <c r="DB25" i="1"/>
  <c r="DB23" i="1"/>
  <c r="DC5" i="1" l="1"/>
  <c r="DC6" i="1"/>
  <c r="DC8" i="1"/>
  <c r="DC9" i="1"/>
  <c r="DC10" i="1"/>
  <c r="DC11" i="1"/>
  <c r="DC12" i="1"/>
  <c r="DC13" i="1"/>
  <c r="DC14" i="1"/>
  <c r="DC15" i="1"/>
  <c r="DC16" i="1"/>
  <c r="DC17" i="1"/>
  <c r="DC18" i="1"/>
  <c r="DC19" i="1"/>
  <c r="DC20" i="1"/>
  <c r="DC21" i="1"/>
  <c r="DC47" i="1"/>
  <c r="DB21" i="1" l="1"/>
  <c r="DB47" i="1"/>
  <c r="DA4" i="1"/>
  <c r="DB20" i="1" l="1"/>
  <c r="DB18" i="1"/>
  <c r="DB19" i="1"/>
  <c r="DB16" i="1"/>
  <c r="DB2" i="1" l="1"/>
  <c r="L26" i="12"/>
  <c r="L25" i="12"/>
  <c r="L24" i="12"/>
  <c r="L23" i="12"/>
  <c r="L22" i="12"/>
  <c r="L21" i="12"/>
  <c r="L20" i="12"/>
  <c r="L19" i="12"/>
  <c r="L18" i="12"/>
  <c r="L17" i="12"/>
  <c r="L12" i="12"/>
  <c r="L4" i="12"/>
  <c r="L5" i="12"/>
  <c r="L6" i="12"/>
  <c r="L7" i="12"/>
  <c r="L8" i="12"/>
  <c r="L9" i="12"/>
  <c r="L10" i="12"/>
  <c r="L11" i="12"/>
  <c r="L3" i="12"/>
  <c r="G56" i="12"/>
  <c r="G55" i="12"/>
  <c r="G54" i="12"/>
  <c r="G53" i="12"/>
  <c r="G52" i="12"/>
  <c r="G51" i="12"/>
  <c r="G47" i="12"/>
  <c r="G46" i="12"/>
  <c r="G45" i="12"/>
  <c r="G44" i="12"/>
  <c r="G43" i="12"/>
  <c r="G42" i="12"/>
  <c r="G41" i="12"/>
  <c r="G40" i="12"/>
  <c r="G36" i="12"/>
  <c r="G35" i="12"/>
  <c r="G34" i="12"/>
  <c r="G33" i="12"/>
  <c r="G32" i="12"/>
  <c r="G31" i="12"/>
  <c r="G30" i="12"/>
  <c r="G21" i="12"/>
  <c r="G22" i="12"/>
  <c r="G23" i="12"/>
  <c r="G24" i="12"/>
  <c r="G25" i="12"/>
  <c r="G26" i="12"/>
  <c r="G20" i="12"/>
  <c r="G13" i="12"/>
  <c r="G14" i="12"/>
  <c r="G15" i="12"/>
  <c r="G16" i="12"/>
  <c r="G12" i="12"/>
  <c r="G4" i="12"/>
  <c r="G5" i="12"/>
  <c r="G6" i="12"/>
  <c r="G7" i="12"/>
  <c r="G8" i="12"/>
  <c r="G3" i="12"/>
  <c r="H5" i="11"/>
  <c r="H6" i="11"/>
  <c r="H7" i="11"/>
  <c r="H8" i="11"/>
  <c r="H9" i="11"/>
  <c r="H10" i="11"/>
  <c r="H11" i="11"/>
  <c r="H12" i="11"/>
  <c r="H13" i="11"/>
  <c r="H14" i="11"/>
  <c r="H15" i="11"/>
  <c r="H4" i="11"/>
  <c r="B75" i="11"/>
  <c r="B67" i="11"/>
  <c r="B74" i="11"/>
  <c r="B73" i="11"/>
  <c r="B72" i="11"/>
  <c r="B71" i="11"/>
  <c r="B66" i="11"/>
  <c r="B65" i="11"/>
  <c r="B64" i="11"/>
  <c r="B63" i="11"/>
  <c r="B62" i="11"/>
  <c r="B61" i="11"/>
  <c r="B60" i="11"/>
  <c r="B59" i="11"/>
  <c r="B58" i="11"/>
  <c r="B57" i="11"/>
  <c r="B56" i="11"/>
  <c r="B55" i="11"/>
  <c r="B54" i="11"/>
  <c r="B49" i="11"/>
  <c r="B48" i="11"/>
  <c r="B47" i="11"/>
  <c r="B46" i="11"/>
  <c r="B45" i="11"/>
  <c r="B44" i="11"/>
  <c r="B43" i="11"/>
  <c r="B42" i="11"/>
  <c r="B41" i="11"/>
  <c r="B40" i="11"/>
  <c r="B39" i="11"/>
  <c r="B38" i="11"/>
  <c r="B37" i="11"/>
  <c r="B50" i="11"/>
  <c r="B33" i="11"/>
  <c r="B17" i="11"/>
  <c r="B22" i="11"/>
  <c r="B23" i="11"/>
  <c r="B24" i="11"/>
  <c r="B25" i="11"/>
  <c r="B26" i="11"/>
  <c r="B27" i="11"/>
  <c r="B28" i="11"/>
  <c r="B29" i="11"/>
  <c r="B30" i="11"/>
  <c r="B31" i="11"/>
  <c r="B32" i="11"/>
  <c r="B21" i="11"/>
  <c r="B16" i="11"/>
  <c r="B15" i="11"/>
  <c r="B14" i="11"/>
  <c r="B13" i="11"/>
  <c r="B12" i="11"/>
  <c r="B11" i="11"/>
  <c r="B10" i="11"/>
  <c r="B9" i="11"/>
  <c r="B8" i="11"/>
  <c r="B7" i="11"/>
  <c r="B6" i="11"/>
  <c r="B5" i="11"/>
  <c r="B4" i="11"/>
  <c r="G23" i="10"/>
  <c r="G24" i="10"/>
  <c r="G25" i="10"/>
  <c r="G26" i="10"/>
  <c r="G27" i="10"/>
  <c r="G22" i="10"/>
  <c r="G4" i="10"/>
  <c r="G5" i="10"/>
  <c r="G6" i="10"/>
  <c r="G7" i="10"/>
  <c r="G8" i="10"/>
  <c r="G9" i="10"/>
  <c r="G10" i="10"/>
  <c r="G11" i="10"/>
  <c r="G12" i="10"/>
  <c r="G13" i="10"/>
  <c r="H13" i="10"/>
  <c r="G14" i="10"/>
  <c r="G15" i="10"/>
  <c r="G16" i="10"/>
  <c r="G17" i="10"/>
  <c r="G18" i="10"/>
  <c r="G3" i="10"/>
  <c r="B4" i="10"/>
  <c r="B5" i="10"/>
  <c r="B6" i="10"/>
  <c r="B7" i="10"/>
  <c r="B8" i="10"/>
  <c r="B9" i="10"/>
  <c r="B10" i="10"/>
  <c r="B11" i="10"/>
  <c r="B12" i="10"/>
  <c r="B13" i="10"/>
  <c r="B14" i="10"/>
  <c r="B15" i="10"/>
  <c r="B3" i="10"/>
  <c r="B4" i="9"/>
  <c r="B5" i="9"/>
  <c r="B6" i="9"/>
  <c r="B7" i="9"/>
  <c r="B8" i="9"/>
  <c r="B9" i="9"/>
  <c r="B10" i="9"/>
  <c r="B11" i="9"/>
  <c r="B12" i="9"/>
  <c r="B13" i="9"/>
  <c r="B14" i="9"/>
  <c r="B15" i="9"/>
  <c r="B16" i="9"/>
  <c r="B17" i="9"/>
  <c r="B3" i="9"/>
  <c r="L9" i="8"/>
  <c r="L8" i="8"/>
  <c r="L7" i="8"/>
  <c r="L6" i="8"/>
  <c r="L5" i="8"/>
  <c r="L4" i="8"/>
  <c r="L3" i="8"/>
  <c r="L20" i="8"/>
  <c r="L19" i="8"/>
  <c r="L18" i="8"/>
  <c r="L17" i="8"/>
  <c r="L16" i="8"/>
  <c r="L15" i="8"/>
  <c r="L14" i="8"/>
  <c r="L13" i="8"/>
  <c r="L32" i="8"/>
  <c r="L31" i="8"/>
  <c r="L30" i="8"/>
  <c r="L29" i="8"/>
  <c r="L28" i="8"/>
  <c r="L27" i="8"/>
  <c r="L26" i="8"/>
  <c r="L25" i="8"/>
  <c r="L44" i="8"/>
  <c r="L45" i="8"/>
  <c r="L43" i="8"/>
  <c r="L42" i="8"/>
  <c r="L41" i="8"/>
  <c r="L40" i="8"/>
  <c r="L39" i="8"/>
  <c r="L38" i="8"/>
  <c r="L37" i="8"/>
  <c r="G44" i="8"/>
  <c r="G43" i="8"/>
  <c r="G42" i="8"/>
  <c r="G41" i="8"/>
  <c r="G40" i="8"/>
  <c r="G39" i="8"/>
  <c r="G38" i="8"/>
  <c r="G37" i="8"/>
  <c r="G32" i="8"/>
  <c r="G31" i="8"/>
  <c r="G30" i="8"/>
  <c r="G29" i="8"/>
  <c r="G28" i="8"/>
  <c r="G27" i="8"/>
  <c r="G26" i="8"/>
  <c r="G25" i="8"/>
  <c r="G21" i="8"/>
  <c r="G20" i="8"/>
  <c r="G19" i="8"/>
  <c r="G18" i="8"/>
  <c r="G17" i="8"/>
  <c r="G16" i="8"/>
  <c r="G15" i="8"/>
  <c r="G14" i="8"/>
  <c r="B55" i="8"/>
  <c r="B54" i="8"/>
  <c r="B53" i="8"/>
  <c r="B52" i="8"/>
  <c r="B51" i="8"/>
  <c r="B50" i="8"/>
  <c r="B46" i="8"/>
  <c r="B45" i="8"/>
  <c r="B44" i="8"/>
  <c r="B43" i="8"/>
  <c r="B42" i="8"/>
  <c r="B41" i="8"/>
  <c r="B36" i="8"/>
  <c r="B35" i="8"/>
  <c r="B34" i="8"/>
  <c r="B33" i="8"/>
  <c r="B32" i="8"/>
  <c r="B31" i="8"/>
  <c r="B26" i="8"/>
  <c r="B25" i="8"/>
  <c r="B24" i="8"/>
  <c r="B23" i="8"/>
  <c r="B22" i="8"/>
  <c r="B21" i="8"/>
  <c r="B17" i="8"/>
  <c r="B16" i="8"/>
  <c r="B15" i="8"/>
  <c r="B14" i="8"/>
  <c r="B13" i="8"/>
  <c r="B12" i="8"/>
  <c r="Q10" i="8"/>
  <c r="Q9" i="8"/>
  <c r="Q4" i="8"/>
  <c r="Q3" i="8"/>
  <c r="L21" i="8"/>
  <c r="M21" i="8" s="1"/>
  <c r="G10" i="8"/>
  <c r="G9" i="8"/>
  <c r="G8" i="8"/>
  <c r="G7" i="8"/>
  <c r="G6" i="8"/>
  <c r="G5" i="8"/>
  <c r="G4" i="8"/>
  <c r="G3" i="8"/>
  <c r="B4" i="8"/>
  <c r="B5" i="8"/>
  <c r="B6" i="8"/>
  <c r="B7" i="8"/>
  <c r="B8" i="8"/>
  <c r="B3" i="8"/>
  <c r="B22" i="12" l="1"/>
  <c r="D22" i="12" s="1"/>
  <c r="B21" i="12"/>
  <c r="D21" i="12" s="1"/>
  <c r="B20" i="12"/>
  <c r="D20" i="12" s="1"/>
  <c r="B19" i="12"/>
  <c r="D19" i="12" s="1"/>
  <c r="B18" i="12"/>
  <c r="D18" i="12" s="1"/>
  <c r="B17" i="12"/>
  <c r="D17" i="12" s="1"/>
  <c r="B16" i="12"/>
  <c r="D16" i="12" s="1"/>
  <c r="B15" i="12"/>
  <c r="D15" i="12" s="1"/>
  <c r="N8" i="11"/>
  <c r="C15" i="10"/>
  <c r="C14" i="10"/>
  <c r="C13" i="10"/>
  <c r="C12" i="10"/>
  <c r="C11" i="10"/>
  <c r="C10" i="10"/>
  <c r="C9" i="10"/>
  <c r="C8" i="10"/>
  <c r="C7" i="10"/>
  <c r="C6" i="10"/>
  <c r="C5" i="10"/>
  <c r="C4" i="10"/>
  <c r="C3" i="10"/>
  <c r="C15" i="12" l="1"/>
  <c r="C17" i="12"/>
  <c r="C19" i="12"/>
  <c r="C21" i="12"/>
  <c r="C16" i="12"/>
  <c r="C18" i="12"/>
  <c r="C20" i="12"/>
  <c r="C22" i="12"/>
  <c r="B11" i="12"/>
  <c r="D11" i="12" s="1"/>
  <c r="B10" i="12"/>
  <c r="D10" i="12" s="1"/>
  <c r="B9" i="12"/>
  <c r="D9" i="12" s="1"/>
  <c r="B8" i="12"/>
  <c r="D8" i="12" s="1"/>
  <c r="B7" i="12"/>
  <c r="D7" i="12" s="1"/>
  <c r="B6" i="12"/>
  <c r="D6" i="12" s="1"/>
  <c r="B5" i="12"/>
  <c r="D5" i="12" s="1"/>
  <c r="B4" i="12"/>
  <c r="D4" i="12" s="1"/>
  <c r="B3" i="12"/>
  <c r="D3" i="12" s="1"/>
  <c r="N16" i="11"/>
  <c r="N15" i="11"/>
  <c r="N14" i="11"/>
  <c r="N13" i="11"/>
  <c r="N12" i="11"/>
  <c r="N10" i="11"/>
  <c r="N9" i="11"/>
  <c r="N7" i="11"/>
  <c r="N6" i="11"/>
  <c r="N5" i="11"/>
  <c r="N4" i="11"/>
  <c r="N3" i="11"/>
  <c r="N2" i="11"/>
  <c r="N11" i="11"/>
  <c r="C4" i="12" l="1"/>
  <c r="C6" i="12"/>
  <c r="C8" i="12"/>
  <c r="C10" i="12"/>
  <c r="C3" i="12"/>
  <c r="C5" i="12"/>
  <c r="C7" i="12"/>
  <c r="C9" i="12"/>
  <c r="C11" i="12"/>
  <c r="W13" i="8"/>
  <c r="W14" i="8"/>
  <c r="W15" i="8"/>
  <c r="W3" i="8"/>
  <c r="W4" i="8"/>
  <c r="W5" i="8"/>
  <c r="W6" i="8"/>
  <c r="W7" i="8"/>
  <c r="W8" i="8"/>
  <c r="W9" i="8"/>
  <c r="W10" i="8"/>
  <c r="W11" i="8"/>
  <c r="W12" i="8"/>
  <c r="X13" i="8" l="1"/>
  <c r="X14" i="8"/>
  <c r="X15" i="8"/>
  <c r="H8" i="8"/>
  <c r="R4" i="8"/>
  <c r="H19" i="8"/>
  <c r="H30" i="8"/>
  <c r="R10" i="8"/>
  <c r="H42" i="8"/>
  <c r="H20" i="8"/>
  <c r="H31" i="8"/>
  <c r="H43" i="8"/>
  <c r="C7" i="8"/>
  <c r="C45" i="8"/>
  <c r="C16" i="8"/>
  <c r="C25" i="8"/>
  <c r="C54" i="8"/>
  <c r="C35" i="8"/>
  <c r="M18" i="8"/>
  <c r="M30" i="8"/>
  <c r="M42" i="8"/>
  <c r="M7" i="8"/>
  <c r="C17" i="8"/>
  <c r="C36" i="8"/>
  <c r="H10" i="8"/>
  <c r="H21" i="8"/>
  <c r="H32" i="8"/>
  <c r="H44" i="8"/>
  <c r="M20" i="8"/>
  <c r="M31" i="8"/>
  <c r="M44" i="8"/>
  <c r="M9" i="8"/>
  <c r="M32" i="8"/>
  <c r="M45" i="8"/>
  <c r="X3" i="8"/>
  <c r="X4" i="8"/>
  <c r="X5" i="8"/>
  <c r="X6" i="8"/>
  <c r="X7" i="8"/>
  <c r="X8" i="8"/>
  <c r="X9" i="8"/>
  <c r="X10" i="8"/>
  <c r="X11" i="8"/>
  <c r="X12" i="8"/>
  <c r="C3" i="9"/>
  <c r="C4" i="9"/>
  <c r="C5" i="9"/>
  <c r="C6" i="9"/>
  <c r="C7" i="9"/>
  <c r="C8" i="9"/>
  <c r="C9" i="9"/>
  <c r="C10" i="9"/>
  <c r="C11" i="9"/>
  <c r="C12" i="9"/>
  <c r="C13" i="9"/>
  <c r="C14" i="9"/>
  <c r="C15" i="9"/>
  <c r="C16" i="9"/>
  <c r="C17" i="9"/>
  <c r="H3" i="10"/>
  <c r="H22" i="10"/>
  <c r="H4" i="10"/>
  <c r="H23" i="10"/>
  <c r="H5" i="10"/>
  <c r="H24" i="10"/>
  <c r="H25" i="10"/>
  <c r="H26" i="10"/>
  <c r="H27" i="10"/>
  <c r="H18" i="10"/>
  <c r="H6" i="10"/>
  <c r="H7" i="10"/>
  <c r="H8" i="10"/>
  <c r="H9" i="10"/>
  <c r="H10" i="10"/>
  <c r="H11" i="10"/>
  <c r="H12" i="10"/>
  <c r="H14" i="10"/>
  <c r="H15" i="10"/>
  <c r="H16" i="10"/>
  <c r="H17" i="10"/>
  <c r="H24" i="12" l="1"/>
  <c r="H22" i="12"/>
  <c r="H15" i="12"/>
  <c r="H13" i="12"/>
  <c r="C74" i="11"/>
  <c r="H20" i="12"/>
  <c r="H33" i="12"/>
  <c r="H31" i="12"/>
  <c r="H6" i="12"/>
  <c r="H4" i="12"/>
  <c r="I15" i="11"/>
  <c r="I11" i="11"/>
  <c r="I9" i="11"/>
  <c r="I7" i="11"/>
  <c r="I4" i="11"/>
  <c r="H23" i="12"/>
  <c r="H21" i="12"/>
  <c r="H34" i="12"/>
  <c r="H32" i="12"/>
  <c r="H30" i="12"/>
  <c r="H16" i="12"/>
  <c r="H14" i="12"/>
  <c r="H12" i="12"/>
  <c r="H5" i="12"/>
  <c r="H3" i="12"/>
  <c r="I13" i="11"/>
  <c r="I12" i="11"/>
  <c r="I10" i="11"/>
  <c r="I6" i="11"/>
  <c r="I8" i="11"/>
  <c r="I14" i="11"/>
  <c r="C73" i="11"/>
  <c r="C75" i="11"/>
  <c r="C72" i="11"/>
  <c r="C71" i="11"/>
  <c r="M24" i="12"/>
  <c r="M10" i="12"/>
  <c r="M26" i="12"/>
  <c r="M12" i="12"/>
  <c r="M22" i="12"/>
  <c r="M8" i="12"/>
  <c r="M20" i="12"/>
  <c r="M6" i="12"/>
  <c r="M18" i="12"/>
  <c r="M4" i="12"/>
  <c r="M23" i="12"/>
  <c r="M9" i="12"/>
  <c r="M25" i="12"/>
  <c r="M11" i="12"/>
  <c r="M21" i="12"/>
  <c r="M7" i="12"/>
  <c r="M19" i="12"/>
  <c r="M5" i="12"/>
  <c r="M17" i="12"/>
  <c r="M3" i="12"/>
  <c r="H56" i="12"/>
  <c r="H45" i="12"/>
  <c r="H54" i="12"/>
  <c r="H43" i="12"/>
  <c r="H52" i="12"/>
  <c r="H41" i="12"/>
  <c r="H35" i="12"/>
  <c r="H46" i="12"/>
  <c r="H25" i="12"/>
  <c r="H7" i="12"/>
  <c r="C32" i="11"/>
  <c r="C66" i="11"/>
  <c r="C49" i="11"/>
  <c r="C16" i="11"/>
  <c r="C26" i="11"/>
  <c r="C10" i="11"/>
  <c r="C55" i="11"/>
  <c r="C38" i="11"/>
  <c r="C21" i="11"/>
  <c r="C5" i="11"/>
  <c r="C29" i="11"/>
  <c r="C63" i="11"/>
  <c r="C46" i="11"/>
  <c r="C13" i="11"/>
  <c r="C27" i="11"/>
  <c r="C61" i="11"/>
  <c r="C44" i="11"/>
  <c r="C11" i="11"/>
  <c r="C25" i="11"/>
  <c r="C59" i="11"/>
  <c r="C42" i="11"/>
  <c r="C9" i="11"/>
  <c r="C40" i="11"/>
  <c r="C7" i="11"/>
  <c r="C56" i="11"/>
  <c r="C39" i="11"/>
  <c r="C67" i="11"/>
  <c r="C50" i="11"/>
  <c r="C33" i="11"/>
  <c r="C17" i="11"/>
  <c r="C4" i="11"/>
  <c r="I5" i="11"/>
  <c r="C54" i="11"/>
  <c r="C37" i="11"/>
  <c r="C23" i="11"/>
  <c r="C57" i="11"/>
  <c r="H7" i="8"/>
  <c r="C53" i="8"/>
  <c r="C44" i="8"/>
  <c r="C34" i="8"/>
  <c r="C24" i="8"/>
  <c r="C15" i="8"/>
  <c r="C6" i="8"/>
  <c r="M6" i="8"/>
  <c r="M17" i="8"/>
  <c r="M29" i="8"/>
  <c r="M41" i="8"/>
  <c r="H41" i="8"/>
  <c r="H29" i="8"/>
  <c r="H18" i="8"/>
  <c r="C51" i="8"/>
  <c r="C42" i="8"/>
  <c r="C32" i="8"/>
  <c r="C22" i="8"/>
  <c r="C13" i="8"/>
  <c r="C4" i="8"/>
  <c r="M16" i="8"/>
  <c r="M28" i="8"/>
  <c r="M40" i="8"/>
  <c r="H40" i="8"/>
  <c r="H28" i="8"/>
  <c r="H17" i="8"/>
  <c r="H6" i="8"/>
  <c r="M4" i="8"/>
  <c r="M14" i="8"/>
  <c r="M26" i="8"/>
  <c r="M38" i="8"/>
  <c r="H38" i="8"/>
  <c r="H26" i="8"/>
  <c r="H15" i="8"/>
  <c r="H4" i="8"/>
  <c r="H3" i="8"/>
  <c r="H37" i="8"/>
  <c r="H25" i="8"/>
  <c r="H14" i="8"/>
  <c r="H55" i="12"/>
  <c r="H44" i="12"/>
  <c r="H53" i="12"/>
  <c r="H42" i="12"/>
  <c r="H51" i="12"/>
  <c r="H40" i="12"/>
  <c r="H47" i="12"/>
  <c r="H36" i="12"/>
  <c r="H26" i="12"/>
  <c r="H8" i="12"/>
  <c r="C31" i="11"/>
  <c r="C65" i="11"/>
  <c r="C48" i="11"/>
  <c r="C15" i="11"/>
  <c r="C22" i="11"/>
  <c r="C6" i="11"/>
  <c r="C30" i="11"/>
  <c r="C64" i="11"/>
  <c r="C47" i="11"/>
  <c r="C14" i="11"/>
  <c r="C28" i="11"/>
  <c r="C62" i="11"/>
  <c r="C45" i="11"/>
  <c r="C12" i="11"/>
  <c r="C60" i="11"/>
  <c r="C43" i="11"/>
  <c r="C24" i="11"/>
  <c r="C58" i="11"/>
  <c r="C41" i="11"/>
  <c r="C8" i="11"/>
  <c r="C55" i="8"/>
  <c r="C26" i="8"/>
  <c r="C46" i="8"/>
  <c r="C8" i="8"/>
  <c r="M19" i="8"/>
  <c r="M43" i="8"/>
  <c r="H9" i="8"/>
  <c r="M8" i="8"/>
  <c r="C52" i="8"/>
  <c r="C14" i="8"/>
  <c r="C5" i="8"/>
  <c r="C43" i="8"/>
  <c r="C33" i="8"/>
  <c r="C23" i="8"/>
  <c r="R9" i="8"/>
  <c r="R3" i="8"/>
  <c r="C3" i="8"/>
  <c r="C12" i="8"/>
  <c r="C50" i="8"/>
  <c r="C41" i="8"/>
  <c r="C31" i="8"/>
  <c r="C21" i="8"/>
  <c r="H5" i="8"/>
  <c r="M5" i="8"/>
  <c r="M15" i="8"/>
  <c r="M27" i="8"/>
  <c r="M39" i="8"/>
  <c r="H39" i="8"/>
  <c r="H27" i="8"/>
  <c r="H16" i="8"/>
  <c r="M3" i="8"/>
  <c r="M13" i="8"/>
  <c r="M25" i="8"/>
  <c r="M37" i="8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<sst xmlns="http://schemas.openxmlformats.org/spreadsheetml/2006/main" count="1094" uniqueCount="593">
  <si>
    <t>شماره پرسنلی</t>
  </si>
  <si>
    <t>نام و نام خانوادگی</t>
  </si>
  <si>
    <t>مونتاژ کلید مینیاتوری(آماده سازی EP-تک پل)</t>
  </si>
  <si>
    <t>مونتاژ کلید مینیاتوری(مونتاژ DE با پلیت پلاستیکی)</t>
  </si>
  <si>
    <t>مونتاژ کلید مینیاتوری(مونتاژ پلیسه گیری محفظه و درپوش)</t>
  </si>
  <si>
    <t>مونتاژ کلید مینیاتوری(مونتاژ جوش التراسونیک)</t>
  </si>
  <si>
    <t>مونتاژ کلید مینیاتوری(مونتاژ بعد از آماده سازی (EP)-تک پل)</t>
  </si>
  <si>
    <t>مونتاژ کلید مینیاتوری(پین گذاری E80-تک پل)</t>
  </si>
  <si>
    <t>مونتاژ کلید مینیاتوری(مونتاژ بعد از پین گذاری E80-تک پل)</t>
  </si>
  <si>
    <t>مونتاژ کلید مینیاتوری(مونتاژ ASTM جدید-تک پل)</t>
  </si>
  <si>
    <t>مونتاژ کلید مینیاتوری(مونتاژ کامل کلید مینیاتوری-تک پل)</t>
  </si>
  <si>
    <t>مونتاژ کلید مینیاتوری(چکش کاری بیمتال)</t>
  </si>
  <si>
    <t>مونتاژ کلید مینیاتوری(پلیسه گیری محفظه درپوش E80)</t>
  </si>
  <si>
    <t>پرچ کلید مینیاتوری-تک پل</t>
  </si>
  <si>
    <t>پرچ کلید مینیاتوری-باز کردن پرچ</t>
  </si>
  <si>
    <t>پرچ کلید مینیاتوری-باز کردن پرچ با دستگاه جدید</t>
  </si>
  <si>
    <t>چاپ کلید مینیاتوری(EP-تک پل)</t>
  </si>
  <si>
    <t>چاپ کلید مینیاتوری(ASTM 140)</t>
  </si>
  <si>
    <t>چاپ کلید مینیاتوری(EP-دو پل)</t>
  </si>
  <si>
    <t>چاپ کلید مینیاتوری(EP-سه پل)</t>
  </si>
  <si>
    <t>چاپ کلید مینیاتوری(ASTM 340)</t>
  </si>
  <si>
    <t>چاپ کلید مینیاتوری(EP-سه فاز و نول)</t>
  </si>
  <si>
    <t>چاپ کلید مینیاتوری(EP + چاپ دکمه-تک پل)</t>
  </si>
  <si>
    <t>چاپ کلید مینیاتوری(EP + چاپ دکمه-دو پل)</t>
  </si>
  <si>
    <t>چاپ کلید مینیاتوری(EP + چاپ دکمه-سه پل)</t>
  </si>
  <si>
    <t>چاپ کلید مینیاتوری(EP + چاپ دکمه-سه فاز و نول)</t>
  </si>
  <si>
    <t>چاپ کلید مینیاتوری(E80-تک پل)</t>
  </si>
  <si>
    <t>چاپ کلید مینیاتوری(E80-بVAS 140)</t>
  </si>
  <si>
    <t>چاپ کلید مینیاتوری(E80-تکفاز و نول)</t>
  </si>
  <si>
    <t>چاپ کلید مینیاتوری(E80-سه پل)</t>
  </si>
  <si>
    <t>چاپ کلید مینیاتوری(E80-VAS 340)</t>
  </si>
  <si>
    <t>چاپ کلید مینیاتوری(E80-سه فاز و نول)</t>
  </si>
  <si>
    <t>چاپ کلید مینیاتوری(DE-تکفاز و نول)</t>
  </si>
  <si>
    <t>چاپ کلید مینیاتوری(DE-سه پل)</t>
  </si>
  <si>
    <t>چاپ کلید مینیاتوری(DE-سه فاز و نول)</t>
  </si>
  <si>
    <t>چاپ کلید مینیاتوری(فارسی-نول و فاز)</t>
  </si>
  <si>
    <t>چاپ کلید مینیاتوری(چاپ کلید مینیاتوری جدید DE تک پل)</t>
  </si>
  <si>
    <t>بسته بندي کلید مینیاتوری(E80-تک پل)</t>
  </si>
  <si>
    <t>بسته بندي کلید مینیاتوری(E80-دو پل)</t>
  </si>
  <si>
    <t>بسته بندي کلید مینیاتوری(E80-سه پل)</t>
  </si>
  <si>
    <t>بسته بندي کلید مینیاتوری(E80-چهار پل)</t>
  </si>
  <si>
    <t>بسته بندي کلید مینیاتوری(EP-تک پل)</t>
  </si>
  <si>
    <t>بسته بندي کلید مینیاتوری(EP-دو پل)</t>
  </si>
  <si>
    <t>بسته بندي کلید مینیاتوری(EP-سه پل)</t>
  </si>
  <si>
    <t>بسته بندي کلید مینیاتوری(EP-چهار پل)</t>
  </si>
  <si>
    <t>بسته بندي کلید مینیاتوری(مراحل چندفاز کردن DE-دو پل)</t>
  </si>
  <si>
    <t>بسته بندي کلید مینیاتوری(مراحل چندفاز کردن DE-سه پل)</t>
  </si>
  <si>
    <t>بسته بندي کلید مینیاتوری(مراحل چندفاز کردن DE-چهار پل)</t>
  </si>
  <si>
    <t>بسته بندي کلید مینیاتوری(DE-تک پل)</t>
  </si>
  <si>
    <t>بسته بندي کلید مینیاتوری(DE-دو پل)</t>
  </si>
  <si>
    <t>بسته بندي کلید مینیاتوری(DE-سه پل)</t>
  </si>
  <si>
    <t>بسته بندي کلید مینیاتوری(DE-چهار پل)</t>
  </si>
  <si>
    <t>بسته بندي کلید مینیاتوری(پاک کردن چاپ DE-برای هر پل)</t>
  </si>
  <si>
    <t>بسته بندي کلید مینیاتوری(تست پیچ DE-برای هر پل)</t>
  </si>
  <si>
    <t>بسته بندي کلید مینیاتوری(چسب ریزی DE-برای هر پل)</t>
  </si>
  <si>
    <t>بسته بندي کلید مینیاتوری(تک پل کردن چندفاز DE)</t>
  </si>
  <si>
    <t>بسته بندي کلید مینیاتوری(جداسازی طلق و پلاک تکفاز)</t>
  </si>
  <si>
    <t>بسته بندي کلید مینیاتوری(جاگذاری پلیت پلاستیکی داخل فیوز)</t>
  </si>
  <si>
    <t>سوپیچ قطع کن) پلیسه گیری محفظه (</t>
  </si>
  <si>
    <t>سوپیچ قطع کن) صحه گذاری زوایای پلاتین ها (</t>
  </si>
  <si>
    <t>سوپیچ قطع کن) مونتاژ پلاتین ها بر روی پوسته اصلی و تثبیت پلاتین ها (</t>
  </si>
  <si>
    <t>سوپیچ قطع کن) پرس گرم (</t>
  </si>
  <si>
    <t>سوپیچ قطع کن) تست هم راستایی (</t>
  </si>
  <si>
    <t>سوپیچ قطع کن) تست استحکام پلاتین ها (</t>
  </si>
  <si>
    <t>سوپیچ قطع کن) مونتاژ ماگنت داخل محفظه (</t>
  </si>
  <si>
    <t>سوپیچ قطع کن) کالیبراسیون مونتاژ ماگنت (</t>
  </si>
  <si>
    <t>سوپیچ قطع کن)مونتاژ کامل بعد از اماده سازی به جز درپوش قرمز (</t>
  </si>
  <si>
    <t>سوپیچ قطع کن)تست شتاب (</t>
  </si>
  <si>
    <t>سوپیچ قطع کن)پلمپ حرارتی پایه های پوسته اصلی (</t>
  </si>
  <si>
    <t>سوپیچ قطع کن)چاپ آرم ساپکو و تاریخ تولید  (</t>
  </si>
  <si>
    <t>سوپیچ قطع کن)بسته بندی  (</t>
  </si>
  <si>
    <t>کنتور الکترونیکی تکفاز هوشمند) اسکن بارکد روی نیم پلیت ها (</t>
  </si>
  <si>
    <t>کنتور الکترونیکی تکفاز هوشمند) مونتاژ ترمینال بلاک و اورینگ گذاری (</t>
  </si>
  <si>
    <t>کنتور الکترونیکی تکفاز هوشمند) لحیم ترمینال بلاک به بورد (</t>
  </si>
  <si>
    <t>کنتور الکترونیکی تکفاز هوشمند) مونتاژ برد روی محفظه (</t>
  </si>
  <si>
    <t>کنتور الکترونیکی تکفاز هوشمند) انتقال چرخ به محل نصب firmware و نصب firmware برد (</t>
  </si>
  <si>
    <t>کنتور الکترونیکی تکفاز هوشمند) مونتاژ  و دمونتاژ ماژول (</t>
  </si>
  <si>
    <t>کنتور الکترونیکی تکفاز هوشمند) نصب firmware ماژول (</t>
  </si>
  <si>
    <t>کنتور الکترونیکی تکفاز هوشمند) کالیبراسیون RTC (</t>
  </si>
  <si>
    <t>کنتور الکترونیکی تکفاز هوشمند)بستن درپوش، مونتاژ باطری و ماژول PLC (</t>
  </si>
  <si>
    <t>کنتور الکترونیکی تکفاز هوشمند) تست رله (</t>
  </si>
  <si>
    <t>کنتور الکترونیکی تکفاز هوشمند) تنظیم پارامترهای شناسایی کنتور (</t>
  </si>
  <si>
    <t>کنتور الکترونیکی تکفاز هوشمند) درپوش گذاری ترمینال و پلمپ (</t>
  </si>
  <si>
    <t>کنتور الکترونیکی تکفاز هوشمند) بسته بندی (</t>
  </si>
  <si>
    <t>کنتور الکترونیکی سه فاز هوشمند  ) اسکن بارکد روی کنتور ( (</t>
  </si>
  <si>
    <t>کنتور الکترونیکی سه فاز هوشمند  ) مونتاژ ترمینال بلاک، ترانس و بورد تغذیه ( (</t>
  </si>
  <si>
    <t>کنتور الکترونیکی سه فاز هوشمند  ) مونتاژ برد اندازه گیری روی محفظه ( (</t>
  </si>
  <si>
    <t>کنتور الکترونیکی سه فاز هوشمند  )انتقال چرخ به محل نصب firmware و به روز رسانی firmware برد ( (</t>
  </si>
  <si>
    <t>کنتور الکترونیکی سه فاز هوشمند  ) بستن درپوش، مونتاژ باطری و تعویض دکمه برنامه ریزی ( (</t>
  </si>
  <si>
    <t>کنتور الکترونیکی سه فاز هوشمند  ) مونتاژ  و دمونتاژ ماژول ( (</t>
  </si>
  <si>
    <t>کنتور الکترونیکی سه فاز هوشمند  ) به روز رسانی firmware ماژول PLC ( (</t>
  </si>
  <si>
    <t>کنتور الکترونیکی سه فاز هوشمند  ) بستن درپوش،  ماژول PLC  و پلمپ ( (</t>
  </si>
  <si>
    <t>کنتور الکترونیکی سه فاز هوشمند  ) بسته بندی کارتن تک PLC  و پلمپ ( (</t>
  </si>
  <si>
    <t>کنتور الکترونیکی سه فاز هوشمند  ) بسته بندی کارتن 6 تایی PLC  و پلمپ ( (</t>
  </si>
  <si>
    <t>كنتور MTF200F با اورینگ گذاری-مونتاژ-مونتاژ محفظه</t>
  </si>
  <si>
    <t>كنتور MTF200F با چسب زدن-بسته بندی-بسته بندی نیمه کامل</t>
  </si>
  <si>
    <t>كنتور MTF200F با پورت RS با چسب زدن-مونتاژ-اسکن نیم پلیت ها/  بارکد</t>
  </si>
  <si>
    <t>كنتور MTF200F با پورت RS با چسب زدن-مونتاژ-بارکد زدن</t>
  </si>
  <si>
    <t>كنتور MTF200F با پورت RS با چسب زدن-مونتاژ-ساخت کارتن</t>
  </si>
  <si>
    <t>كنتور MTF200F با پورت RS با چسب زدن-مونتاژ-آماده سازی درپوش با هویه</t>
  </si>
  <si>
    <t>كنتور MTF200F با پورت RS با چسب زدن-مونتاژ-مونتاژ بورد (لحیم باطری)</t>
  </si>
  <si>
    <t>كنتور MTF200F با پورت RS با چسب زدن-مونتاژ-باز کردن پیچ ترمینال بلاک</t>
  </si>
  <si>
    <t>كنتور MTF200F با پورت RS با چسب زدن-مونتاژ-مونتاژ محفظه</t>
  </si>
  <si>
    <t>كنتور MTF200F با پورت RS با چسب زدن-مونتاژ-FIRMWARE</t>
  </si>
  <si>
    <t>كنتور MTF200F با پورت RS با چسب زدن-مونتاژ-ACTIVATION</t>
  </si>
  <si>
    <t>كنتور MTF200F با پورت RS با چسب زدن-مونتاژ-برش اورینگ درپوش ترمینال (اورینگ کوچک)</t>
  </si>
  <si>
    <t>كنتور MTF200F با پورت RS با چسب زدن-مونتاژ-تست برقدار شدن</t>
  </si>
  <si>
    <t>كنتور MTF200F با پورت RS با چسب زدن-مونتاژ-کنترل LCD و بورد و محفظه و کندن برچسب</t>
  </si>
  <si>
    <t>كنتور MTF200F با پورت RS با چسب زدن-مونتاژ-ریختن چسب</t>
  </si>
  <si>
    <t>كنتور MTF200F با پورت RS با چسب زدن-مونتاژ-جاگذاری درپوش و پرس</t>
  </si>
  <si>
    <t>كنتور MTF200F با پورت RS با چسب زدن-مونتاژ-Software +Check Firmware</t>
  </si>
  <si>
    <t>كنتور MTF200F با پورت RS با چسب زدن-مونتاژ-بستن پیچ و درپوش پلمپ</t>
  </si>
  <si>
    <t>كنتور MTF200F با پورت RS با چسب زدن-مونتاژ-آماده سازی درپوش بدون هویه</t>
  </si>
  <si>
    <t>كنتور MTF200F با پورت RS چیدن بر روی میز، اسکن کنتورها و ... + بسته بندی کامل-بسته بندی-</t>
  </si>
  <si>
    <t>كنتور MTF200F با پورت RS بسته بندی نیمه کامل-بسته بندی-</t>
  </si>
  <si>
    <t>كنتور MTF200-مونتاژ-ساخت کارتن</t>
  </si>
  <si>
    <t>كنتور MTF200-مونتاژ-آماده سازی درپوش</t>
  </si>
  <si>
    <t>كنتور MTF200-مونتاژ-بارکد زدن</t>
  </si>
  <si>
    <t>كنتور MTF200-مونتاژ-مونتاژ بورد (لحیم باطری)</t>
  </si>
  <si>
    <t>كنتور MTF200-مونتاژ-باز کردن پیچ ترمینال بلاک</t>
  </si>
  <si>
    <t>كنتور MTF200-مونتاژ-مونتاژ محفظه</t>
  </si>
  <si>
    <t>كنتور MTF200-مونتاژ-مونتاژ درپوش روی محفظه</t>
  </si>
  <si>
    <t>كنتور MTF200-مونتاژ-Software</t>
  </si>
  <si>
    <t>كنتور MTF200-بسته بندی-چیدن بر روی میز، اسکن کنتورها و ... + بسته بندی کامل</t>
  </si>
  <si>
    <t>کنتور MTF301 با اورینگ گذاری-مونتاژ-اورینگ گذاری</t>
  </si>
  <si>
    <t>کنتور MTF301 با اورینگ گذاری-مونتاژ-درپوش گذاری</t>
  </si>
  <si>
    <t>کنتور MTF301 با اورینگ گذاری-مونتاژ-بستن پیچ های پل ولتاژ</t>
  </si>
  <si>
    <t>کنتور MTF301 با اورینگ گذاری-مونتاژ-Software</t>
  </si>
  <si>
    <t>کنتور MTF301 با اورینگ گذاری-مونتاژ-بسته بندی کنتور</t>
  </si>
  <si>
    <t>کنتور MTF301 با چسب زدن-مونتاژ-جوش آلتروسونیک (درپوش شفاف به درپوش اصلی)</t>
  </si>
  <si>
    <t>کنتور MTF301 با چسب زدن-مونتاژ-ساخت کارتن</t>
  </si>
  <si>
    <t>کنتور MTF301 با چسب زدن-مونتاژ-اسکن بارکد</t>
  </si>
  <si>
    <t>کنتور MTF301 با چسب زدن-مونتاژ-بارکد زدن</t>
  </si>
  <si>
    <t>کنتور MTF301 با چسب زدن-مونتاژ-لحیم باطری بورد اصلی</t>
  </si>
  <si>
    <t>کنتور MTF301 با چسب زدن-مونتاژ-لحیم ترمینال بلاک به بورد تغذیه</t>
  </si>
  <si>
    <t>کنتور MTF301 با چسب زدن-مونتاژ-مونتاژ محفظه</t>
  </si>
  <si>
    <t>کنتور MTF301 با چسب زدن-مونتاژ-آماده سازی درپوش</t>
  </si>
  <si>
    <t>کنتور MTF301 با چسب زدن-مونتاژ-Firmware</t>
  </si>
  <si>
    <t>کنتور MTF301 با چسب زدن-مونتاژ-ریختن چسب</t>
  </si>
  <si>
    <t>کنتور MTF301 با چسب زدن-مونتاژ-کنترل LCD و بورد و محفظه</t>
  </si>
  <si>
    <t>کنتور MTF301 با چسب زدن-مونتاژ-درپوش گذاری</t>
  </si>
  <si>
    <t>کنتور MTF301 با چسب زدن-مونتاژ-بستن پیچ های پل ولتاژ</t>
  </si>
  <si>
    <t>کنتور MTF301 با چسب زدن-مونتاژ-Software</t>
  </si>
  <si>
    <t>کنتور MTF301 با چسب زدن-مونتاژ-بسته بندی کنتور</t>
  </si>
  <si>
    <t>پیش مونتاژ پایه کنتور 116 (مشترک)-جوش نقطه ای</t>
  </si>
  <si>
    <t>پیش مونتاژ پایه کنتور 116 (مشترک)-مونتاژ ترمینال مینیاتوری</t>
  </si>
  <si>
    <t>پايه كنتور 116 (بدون کنتور و کلید مینیاتوری با ترمینال مینیاتوری)-سرسیم یک طرفه کوچک</t>
  </si>
  <si>
    <t>پايه كنتور 116 (بدون کنتور و کلید مینیاتوری با ترمینال مینیاتوری)-سرسیم یک طرفه بزرگ</t>
  </si>
  <si>
    <t>پايه كنتور 116 (بدون کنتور و کلید مینیاتوری با ترمینال مینیاتوری)-پرس سرسیم یک طرفه</t>
  </si>
  <si>
    <t>پايه كنتور 116 (بدون کنتور و کلید مینیاتوری با ترمینال مینیاتوری)-مونتاژ و بسته بندی</t>
  </si>
  <si>
    <t>پايه كنتور 116 (بدون کنتور و کلید مینیاتوری با ترمینال ریلی)-سرسیم یک طرفه کوچک</t>
  </si>
  <si>
    <t>پايه كنتور 116 (بدون کنتور و کلید مینیاتوری با ترمینال ریلی)-سرسیم یک طرفه بزرگ</t>
  </si>
  <si>
    <t>پايه كنتور 116 (بدون کنتور و کلید مینیاتوری با ترمینال ریلی)-پرس سرسیم یک طرفه</t>
  </si>
  <si>
    <t>پايه كنتور 116 (بدون کنتور و کلید مینیاتوری با ترمینال ریلی)-سیم بندی ترمینال ریلی</t>
  </si>
  <si>
    <t>پايه كنتور 116 (بدون کنتور و کلید مینیاتوری با ترمینال ریلی)-مونتاژ و بسته بندی</t>
  </si>
  <si>
    <t>پايه كنتور 116 (با کنتور و کلید مینیاتوری با ترمینال مینیاتوری)-سرسیم یک طرفه کوچک</t>
  </si>
  <si>
    <t>پايه كنتور 116 (با کنتور و کلید مینیاتوری با ترمینال مینیاتوری)-سرسیم یک طرفه بزرگ</t>
  </si>
  <si>
    <t>پايه كنتور 116 (با کنتور و کلید مینیاتوری با ترمینال مینیاتوری)-پرس سرسیم یک طرفه</t>
  </si>
  <si>
    <t>پايه كنتور 116 (با کنتور و کلید مینیاتوری با ترمینال مینیاتوری)-سیم بندی کلید مینیاتوری</t>
  </si>
  <si>
    <t>پايه كنتور 116 (با کنتور و کلید مینیاتوری با ترمینال مینیاتوری)-چیدن بر روی میز، اسکن کنتورها و زدن برچسب بر روی کارتن مادر</t>
  </si>
  <si>
    <t>پايه كنتور 116 (با کنتور و کلید مینیاتوری با ترمینال مینیاتوری)-مونتاژ و بسته بندی</t>
  </si>
  <si>
    <t>پايه كنتور 116 (با کنتور و بدون کلید مینیاتوری با ترمینال مینیاتوری)-سرسیم یک طرفه کوچک</t>
  </si>
  <si>
    <t>پايه كنتور 116 (با کنتور و بدون کلید مینیاتوری با ترمینال مینیاتوری)-سرسیم یک طرفه بزرگ</t>
  </si>
  <si>
    <t>پايه كنتور 116 (با کنتور و بدون کلید مینیاتوری با ترمینال مینیاتوری)-پرس سرسیم یک طرفه</t>
  </si>
  <si>
    <t>پايه كنتور 116 (با کنتور و بدون کلید مینیاتوری با ترمینال مینیاتوری)-چیدن بر روی میز، اسکن کنتورها و زدن برچسب بر روی کارتن مادر</t>
  </si>
  <si>
    <t>پايه كنتور 116 (با کنتور و بدون کلید مینیاتوری با ترمینال مینیاتوری)-مونتاژ و بسته بندی</t>
  </si>
  <si>
    <t>پایه کنتور 116 (بدون کنتور با کلید مینیاتوری و ترمینال مینیاتوری)-سرسیم یک طرفه کوچک</t>
  </si>
  <si>
    <t>پایه کنتور 116 (بدون کنتور با کلید مینیاتوری و ترمینال مینیاتوری)-سرسیم یک طرفه بزرگ</t>
  </si>
  <si>
    <t>پایه کنتور 116 (بدون کنتور با کلید مینیاتوری و ترمینال مینیاتوری)-پرس سرسیم یک طرفه</t>
  </si>
  <si>
    <t>پایه کنتور 116 (بدون کنتور با کلید مینیاتوری و ترمینال مینیاتوری)-سیم بندی کلید مینیاتوری</t>
  </si>
  <si>
    <t>پایه کنتور 116 (بدون کنتور با کلید مینیاتوری و ترمینال مینیاتوری)-مونتاژ و بسته بندی</t>
  </si>
  <si>
    <t>پایه کنتور 110-مهره گذاری</t>
  </si>
  <si>
    <t>پایه کنتور 110-سرسیم یک طرفه</t>
  </si>
  <si>
    <t>پایه کنتور 110-پرس سرسیم یک طرفه</t>
  </si>
  <si>
    <t>پایه کنتور 110-آماده سازی خازن</t>
  </si>
  <si>
    <t>پایه کنتور 110-سیم بندی کلید مینیاتوری/کلید قطع و وصل (یکطرفه)</t>
  </si>
  <si>
    <t>پایه کنتور 110-سیم بندی خازن (یکطرفه)</t>
  </si>
  <si>
    <t>پایه کنتور 110-سیم بندی ترمینال ریلی</t>
  </si>
  <si>
    <t>پایه کنتور 110-چیدن بر روی میز، اسکن کنتورها و زدن برچسب بر روی کارتن مادر</t>
  </si>
  <si>
    <t>پایه کنتور 110-مونتاژ و بسته بندی</t>
  </si>
  <si>
    <t>پایه کنتور 117-سرسیم یک طرفه</t>
  </si>
  <si>
    <t>پایه کنتور 117-پرس سرسیم یک طرفه</t>
  </si>
  <si>
    <t>پایه کنتور 117-آماده سازی خازن</t>
  </si>
  <si>
    <t>پایه کنتور 117-سیم بندی کلید مینیاتوری/کلید قطع و وصل (یکطرفه)</t>
  </si>
  <si>
    <t>پایه کنتور 117-سیم بندی خازن (یکطرفه)</t>
  </si>
  <si>
    <t>پایه کنتور 117-سیم بندی ترمینال ریلی</t>
  </si>
  <si>
    <t>پایه کنتور 117-آماده سازی قاب</t>
  </si>
  <si>
    <t>پایه کنتور 117-مونتاژ و بسته بندی</t>
  </si>
  <si>
    <t>پایه کنتور 117-آماده سازی وایرینگ 117</t>
  </si>
  <si>
    <t xml:space="preserve">پایه کنتور 117-درپوش گذاری ترمینال </t>
  </si>
  <si>
    <t>جعبه كنتور 112 (با کنتور سه فاز امانی و کلید مینیاتوری TFC)-سوراخ کردن پایه</t>
  </si>
  <si>
    <t>جعبه كنتور 112 (با کنتور سه فاز امانی و کلید مینیاتوری TFC)-مهره گذاری</t>
  </si>
  <si>
    <t>جعبه كنتور 112 (با کنتور سه فاز امانی و کلید مینیاتوری TFC)-پلیسه گیری قاب فیوز سه فاز</t>
  </si>
  <si>
    <t>جعبه كنتور 112 (با کنتور سه فاز امانی و کلید مینیاتوری TFC)-شکستن ترمینال 112</t>
  </si>
  <si>
    <t>جعبه كنتور 112 (با کنتور سه فاز امانی و کلید مینیاتوری TFC)-بستن کانکتور 112</t>
  </si>
  <si>
    <t>جعبه كنتور 112 (با کنتور سه فاز امانی و کلید مینیاتوری TFC)-سرسیم یک طرفه</t>
  </si>
  <si>
    <t>جعبه كنتور 112 (با کنتور سه فاز امانی و کلید مینیاتوری TFC)-پرس سرسیم یک طرفه</t>
  </si>
  <si>
    <t>جعبه كنتور 112 (با کنتور سه فاز امانی و کلید مینیاتوری TFC)-مونتاژ و بسته بندی</t>
  </si>
  <si>
    <t>(غیر تعطیل)تعداد روز کار کرد</t>
  </si>
  <si>
    <t>(تعطیل)تعداد روز کار کرد</t>
  </si>
  <si>
    <t>آمار در ساعت</t>
  </si>
  <si>
    <t>حسین دهقانی</t>
  </si>
  <si>
    <t>محمد تباهه</t>
  </si>
  <si>
    <t>مهدی صبوری</t>
  </si>
  <si>
    <t>فاطمه عالمی</t>
  </si>
  <si>
    <t>میترا اسکندریان</t>
  </si>
  <si>
    <t>ساعت اضافه کار</t>
  </si>
  <si>
    <t>دقیقه اضافه کار</t>
  </si>
  <si>
    <t>فیوز</t>
  </si>
  <si>
    <t>مجموع کارکرد</t>
  </si>
  <si>
    <t>تعداد ضایعات کنتور</t>
  </si>
  <si>
    <t>کسری ضایعات کنتور</t>
  </si>
  <si>
    <t>کسر کار</t>
  </si>
  <si>
    <t>پاداش</t>
  </si>
  <si>
    <t>غیبت</t>
  </si>
  <si>
    <t>ساعت مرخصی</t>
  </si>
  <si>
    <t>دقیقه مرخصی</t>
  </si>
  <si>
    <t>بسته بندي کلید مینیاتوری(تست چاپ)</t>
  </si>
  <si>
    <t>بسته بندي کلید مینیاتوری(تعویض طلق)</t>
  </si>
  <si>
    <t>بسته بندي کلید مینیاتوری(بسته بندی مجدد)</t>
  </si>
  <si>
    <t>سوپیچ قطع کن)درپوش گذاری قبل از تست  (</t>
  </si>
  <si>
    <t>سوپیچ قطع کن)بازرسی نهایی  (</t>
  </si>
  <si>
    <t>کنتور الکترونیکی سه فاز هوشمند  ) آماده سازی محفظه</t>
  </si>
  <si>
    <t>کنتور الکترونیکی سه فاز هوشمند  ) مونتاژ برد منبع تغذیه</t>
  </si>
  <si>
    <t>کنتور الکترونیکی سه فاز هوشمند  ) مونتاژ ترمینال بلاک</t>
  </si>
  <si>
    <t>کنتور الکترونیکی سه فاز هوشمند  )سیم بندی ترمینال بلاک</t>
  </si>
  <si>
    <t>کنتور الکترونیکی سه فاز هوشمند  )مونتاژ ترانس</t>
  </si>
  <si>
    <t>کنتور الکترونیکی سه فاز هوشمند  )Frimware و تست RTC</t>
  </si>
  <si>
    <t>کنتور الکترونیکی سه فاز هوشمند  )جاگذاری سیم کارت ایرانسل</t>
  </si>
  <si>
    <t>کنتور الکترونیکی سه فاز هوشمند  )چسب ریزی</t>
  </si>
  <si>
    <t>کنتور الکترونیکی سه فاز هوشمند  )مونتاژ ماژول</t>
  </si>
  <si>
    <t>کنتور الکترونیکی سه فاز هوشمند  )برقدار کردن</t>
  </si>
  <si>
    <t>کنتور الکترونیکی سه فاز هوشمند  )چاپ نام توزیع</t>
  </si>
  <si>
    <t>كنتور MTF200F با پورت RS با چسب زدن-مونتاژ-مونتاژ بورد Re (لحیم باطری Re)</t>
  </si>
  <si>
    <t>كنتور MTF200F با پورت RS با چسب زدن-مونتاژ-کنترل LCD و بورد و محفظه و کندن برچسب Re</t>
  </si>
  <si>
    <t>حضور اداری</t>
  </si>
  <si>
    <t>مصطفی مکرم نیا</t>
  </si>
  <si>
    <t>مسلم سبزه کار</t>
  </si>
  <si>
    <t>مریم  عبدیان پور</t>
  </si>
  <si>
    <t>محمد شیرازی</t>
  </si>
  <si>
    <t>بسته بندي کلید مینیاتوری(طلق گذاری)</t>
  </si>
  <si>
    <t>راندمان</t>
  </si>
  <si>
    <t>كنتور MTF200F با پورت RS با برد Re</t>
  </si>
  <si>
    <t>كنتور MTF200F بدون پورت RS با برد Re</t>
  </si>
  <si>
    <t>كنتور MTF200F با پورت RS با برد معمولی</t>
  </si>
  <si>
    <t>كنتور MTF200F بدون پورت RS با برد معمولی</t>
  </si>
  <si>
    <t>فرآیندهای حذف شده از سال 95</t>
  </si>
  <si>
    <t xml:space="preserve">كنتور MTF301 </t>
  </si>
  <si>
    <t>کنتور الکترونیکی سه فاز هوشمند  ) اسکن درپوش و سیم کارت</t>
  </si>
  <si>
    <t>کلید EP تک پل</t>
  </si>
  <si>
    <t>شرح فرآیند</t>
  </si>
  <si>
    <t>ضریب</t>
  </si>
  <si>
    <t>کلید EP دو پل</t>
  </si>
  <si>
    <t>کلید EP سه پل</t>
  </si>
  <si>
    <t>کلید EP چهار پل</t>
  </si>
  <si>
    <t>کلید ASTM تک پل</t>
  </si>
  <si>
    <t>کلید ASTM سه پل</t>
  </si>
  <si>
    <t>سوییچ قطع کن سوخت</t>
  </si>
  <si>
    <t>کلید DE تک پل</t>
  </si>
  <si>
    <t>فرآیندهای متفرقه</t>
  </si>
  <si>
    <t>کلید E80 تک پل</t>
  </si>
  <si>
    <t>کلید E80 دو پل</t>
  </si>
  <si>
    <t>کلید E80 سه پل</t>
  </si>
  <si>
    <t>کلید E80 چهار پل</t>
  </si>
  <si>
    <t>کلید E80-VAS 340</t>
  </si>
  <si>
    <t>کلید E80-VAS 140</t>
  </si>
  <si>
    <t>کنتور تک فاز هوشمند</t>
  </si>
  <si>
    <t>فرآیندهای حذف شده از بهمن 95</t>
  </si>
  <si>
    <t>فرآیندهای حذف شده از بهمن ماه 95</t>
  </si>
  <si>
    <t>پايه كنتور 116 (بدون کنتور و کلید مینیاتوری با ترمینال مینیاتوری)</t>
  </si>
  <si>
    <t>پايه كنتور 116 (بدون کنتور و کلید مینیاتوری با ترمینال ریلی)</t>
  </si>
  <si>
    <t>پایه کنتور 116 (بدون کنتور با کلید مینیاتوری و ترمینال مینیاتوری)</t>
  </si>
  <si>
    <t>پايه كنتور 116 (با کنتور و کلید مینیاتوری با ترمینال مینیاتوری)</t>
  </si>
  <si>
    <t>پايه كنتور 116 (با کنتور و بدون کلید مینیاتوری با ترمینال مینیاتوری)</t>
  </si>
  <si>
    <t>پايه كنتور 116 (با کنتور و کلید مینیاتوری دو پل)</t>
  </si>
  <si>
    <t xml:space="preserve">پايه كنتور 110 </t>
  </si>
  <si>
    <t xml:space="preserve">پايه كنتور 112 </t>
  </si>
  <si>
    <t>برای وایرینگ جدید</t>
  </si>
  <si>
    <t>پايه كنتور 117 (مونتاژ کامل با فیوز دو پل)</t>
  </si>
  <si>
    <t>پايه كنتور 117 (مونتاژ کامل با فیوز تک پل)</t>
  </si>
  <si>
    <t>پايه كنتور 117 (بدون کنتور بدون فیوز با خازن )</t>
  </si>
  <si>
    <t>پايه كنتور 117 (بدون کنتور بدون فیوز بدون خازن )</t>
  </si>
  <si>
    <t>پايه كنتور 117 (بدون کنتور بدون فیوز با کلید قطع و وصل )</t>
  </si>
  <si>
    <t>کسر کار (اداری)</t>
  </si>
  <si>
    <t>پاداش (اداری)</t>
  </si>
  <si>
    <t>کارکرد آماری</t>
  </si>
  <si>
    <t>آمار تولید</t>
  </si>
  <si>
    <t>کارکرد</t>
  </si>
  <si>
    <t>آمار استاندارد</t>
  </si>
  <si>
    <t>میزان کارکرد</t>
  </si>
  <si>
    <t>فاطمه نیکوی دولت آبادی</t>
  </si>
  <si>
    <t>محمدرضا احمدی</t>
  </si>
  <si>
    <t>مصطفی فتحی پور</t>
  </si>
  <si>
    <t>رضا جعفرپور قله زو</t>
  </si>
  <si>
    <t>محل فعالیت</t>
  </si>
  <si>
    <t>نام و نام خانوادگی2</t>
  </si>
  <si>
    <t>وضعیت</t>
  </si>
  <si>
    <t>اضافه کار</t>
  </si>
  <si>
    <t>مرخصی ساعتی</t>
  </si>
  <si>
    <t>شماره پرسنلي</t>
  </si>
  <si>
    <t>شخصي</t>
  </si>
  <si>
    <t>استحقا قي</t>
  </si>
  <si>
    <t>ساعت</t>
  </si>
  <si>
    <t>دقیقه</t>
  </si>
  <si>
    <t>علی مرادی</t>
  </si>
  <si>
    <t>حسین نعمتی</t>
  </si>
  <si>
    <t>ماه :</t>
  </si>
  <si>
    <t>تعداد روز ماه :</t>
  </si>
  <si>
    <r>
      <t xml:space="preserve">تعداد روزهای تعطیل ماه </t>
    </r>
    <r>
      <rPr>
        <b/>
        <sz val="8"/>
        <color theme="1"/>
        <rFont val="B Titr"/>
        <charset val="178"/>
      </rPr>
      <t>(با احتساب جمعه ها)</t>
    </r>
    <r>
      <rPr>
        <b/>
        <sz val="10"/>
        <color theme="1"/>
        <rFont val="B Titr"/>
        <charset val="178"/>
      </rPr>
      <t xml:space="preserve"> :</t>
    </r>
  </si>
  <si>
    <t>تعداد روز کاری (غیر تعطیل)</t>
  </si>
  <si>
    <t>حضور ثبت شده واحد برنامه ریزی</t>
  </si>
  <si>
    <t>تفاوت حضور اداری و برنامه ریزی</t>
  </si>
  <si>
    <t>كاركرد</t>
  </si>
  <si>
    <t xml:space="preserve">اضافه کار کل </t>
  </si>
  <si>
    <t xml:space="preserve"> اضافه کار پرداختي</t>
  </si>
  <si>
    <t>بي‌حقوق</t>
  </si>
  <si>
    <t>بيماري</t>
  </si>
  <si>
    <t>بدون‌حقوق</t>
  </si>
  <si>
    <t>غيبت  روزانه</t>
  </si>
  <si>
    <t xml:space="preserve">توضیحات </t>
  </si>
  <si>
    <t>ساعتی_ساعتی-کلید مینیاتوری</t>
  </si>
  <si>
    <t>ساعتی_ساعتی-کنتور</t>
  </si>
  <si>
    <t>ساعتی_ساعتی-چاپ و بسته بندی</t>
  </si>
  <si>
    <t>نام و نام خانوادگي</t>
  </si>
  <si>
    <t>بررسی</t>
  </si>
  <si>
    <t>مرخصی بدون حقوق</t>
  </si>
  <si>
    <t>مرخصی استحقاقی</t>
  </si>
  <si>
    <t>بیماری</t>
  </si>
  <si>
    <t>طیبه میامی میم</t>
  </si>
  <si>
    <t>امیررضا عطاردی</t>
  </si>
  <si>
    <t>ناهید جعفریانی</t>
  </si>
  <si>
    <t>فرهاد صبوری مقدم</t>
  </si>
  <si>
    <t>الناز فرخی</t>
  </si>
  <si>
    <t>اکرم ریحانی</t>
  </si>
  <si>
    <t>عادل آخریان</t>
  </si>
  <si>
    <t>ندا ذکاوتی</t>
  </si>
  <si>
    <t>ساعتی_شارژر خط</t>
  </si>
  <si>
    <t>مجید عرفانی</t>
  </si>
  <si>
    <t>اسماعیل مقدسی</t>
  </si>
  <si>
    <t>مجید شاهین فر</t>
  </si>
  <si>
    <t>کسر کار طبق محاسبات صنایع</t>
  </si>
  <si>
    <t>پاداش طبق محاسبات صنایع</t>
  </si>
  <si>
    <t>مریم مهربان</t>
  </si>
  <si>
    <t>ساعتی_ساعتی-پایه کنتور</t>
  </si>
  <si>
    <t>مرضیه تقوی کمال آبادی</t>
  </si>
  <si>
    <t>نعمت ا... صفا دوست</t>
  </si>
  <si>
    <t>عباس اکبرزاده</t>
  </si>
  <si>
    <t>مجتبی نویدی</t>
  </si>
  <si>
    <t>صدیقه  نامجو</t>
  </si>
  <si>
    <t>محمدحسین شایسته فرد</t>
  </si>
  <si>
    <t>محمد دوستی</t>
  </si>
  <si>
    <t>مهدی خانلری</t>
  </si>
  <si>
    <t>تزریق</t>
  </si>
  <si>
    <t>تست</t>
  </si>
  <si>
    <t>سیدحسین جعفری</t>
  </si>
  <si>
    <t>مجتبی گل محمد فرخانی</t>
  </si>
  <si>
    <t>شماره کارت</t>
  </si>
  <si>
    <t>علی بسیج</t>
  </si>
  <si>
    <t>پایه کنتور 117_سیم بندی ترمینال ریلی</t>
  </si>
  <si>
    <t xml:space="preserve">پایه کنتور 117_درپوش گذاری ترمینال </t>
  </si>
  <si>
    <t>عبیر آلبوغبش</t>
  </si>
  <si>
    <t>عبیر البوغبیش</t>
  </si>
  <si>
    <t>ساعتی_ساعتی-تست کنتور</t>
  </si>
  <si>
    <t>کنتور الکترونیکی سه فاز هوشمند DC_مونتاژ ماژول کنتور هوشمند</t>
  </si>
  <si>
    <t>فرامرز نظرپور</t>
  </si>
  <si>
    <t>سید سجاد مرتضوی</t>
  </si>
  <si>
    <t>محمد رضا احمدی</t>
  </si>
  <si>
    <t>سید مجید عرفانی عیسی زاده</t>
  </si>
  <si>
    <t>مریم عبدیان پور</t>
  </si>
  <si>
    <t>مهدی نصیحتی</t>
  </si>
  <si>
    <t>الهه جابری</t>
  </si>
  <si>
    <t>الناز فرخی جعفرآبادی</t>
  </si>
  <si>
    <t>حجت دشتی</t>
  </si>
  <si>
    <t>مرضیه تقوی</t>
  </si>
  <si>
    <t>مریم مهربان ترنیک</t>
  </si>
  <si>
    <t>علیرضا زاهدی اره کمر</t>
  </si>
  <si>
    <t>حسین عباسپور تبادکان</t>
  </si>
  <si>
    <t>سیدعلی ریوندی</t>
  </si>
  <si>
    <t>سیدمحمدحسین شایسته فرد</t>
  </si>
  <si>
    <t>مهدی خانلری ملکشاه</t>
  </si>
  <si>
    <t>صدیقه نامجو گوش</t>
  </si>
  <si>
    <t>ساعتی_ساعتی-خدمات پس از فروش</t>
  </si>
  <si>
    <t>ساعتی_ساعتی-تست کلید مینیاتوری</t>
  </si>
  <si>
    <t>کنتور الکترونیکی سه فاز هوشمند DC_آماده سازی درپوش کنتور هوشمند DC</t>
  </si>
  <si>
    <t>کنتور الکترونیکی سه فاز هوشمند CT و CT/PT_مونتاژ هوشمندCT-بستن درپوش نیمه باز و مونتاژ باطری</t>
  </si>
  <si>
    <t>کنتور الکترونیکی سه فاز هوشمند CT و CT/PT_مونتاژ هوشمندCT-مونتاژ ترمینال بلاک منبع تغذیه و بستن پیچ ترمینال</t>
  </si>
  <si>
    <t>کنتور الکترونیکی سه فاز هوشمند CT و CT/PT_مونتاژ هوشمندCT-مونتاژ برد اصلی ولحیم کاری</t>
  </si>
  <si>
    <t>کنتور الکترونیکی سه فاز هوشمند CT و CT/PT_مونتاژ هوشمندCT-لحیم پایه برد منبع تغذیه</t>
  </si>
  <si>
    <t>کنتور الکترونیکی سه فاز هوشمند CT و CT/PT_مونتاژ هوشمندCT-آماده سازی محفظه(شامل برچسب و اورینگ گذاری)</t>
  </si>
  <si>
    <t>کنتور الکترونیکی سه فاز هوشمند CT و CT/PT_مونتاژ هوشمندCT-جاگذاری برد اصلی و بستن پیچ</t>
  </si>
  <si>
    <t xml:space="preserve">کنتور الکترونیکی سه فاز هوشمند CT و CT/PT_مونتاژ هوشمندCT-نصب Frimware </t>
  </si>
  <si>
    <t>احمد ثمره محمد کرباسکی</t>
  </si>
  <si>
    <t>کنتور الکترونیکی سه فاز هوشمند CT و CT/PT_مونتاژ هوشمندCT-جاگذاری سیم کارت ایرانسل</t>
  </si>
  <si>
    <t>پایه کنتور 118_پایه 118 با کنتور</t>
  </si>
  <si>
    <t>کنتور الکترونیکی سه فاز هوشمند DC_مونتاژ هوشمندDC-اسکن درپوش و سیم کارت</t>
  </si>
  <si>
    <t>کلید مینیاتوری_پرچ_.....پرچ کلید مینیاتوری-تک پل</t>
  </si>
  <si>
    <t>پیش مونتاژ پایه کنتور (مشترک)_.....مونتاژ کنتور هوشمند DC</t>
  </si>
  <si>
    <t>پیش مونتاژ پایه کنتور (مشترک)_.....بسته بندی کنتور هوشمند سه فاز DC</t>
  </si>
  <si>
    <t>پیش مونتاژ پایه کنتور (مشترک)_..... سرسیم گذاری دو طرفه</t>
  </si>
  <si>
    <t xml:space="preserve">پیش مونتاژ پایه کنتور (مشترک)_.....پرس سر سیم </t>
  </si>
  <si>
    <t>پیش مونتاژ پایه کنتور (مشترک)_..... شیرینگ</t>
  </si>
  <si>
    <t>پیش مونتاژ پایه کنتور (مشترک)_.....چاپ لیزر همراه با چاپ ساتپ</t>
  </si>
  <si>
    <t>پیش مونتاژ پایه کنتور (مشترک)_..... چسب ریزی و بستن درپوش کنتور هوشمند سه فاز</t>
  </si>
  <si>
    <t>گوهر کرمی</t>
  </si>
  <si>
    <t>مصطفی عفتی</t>
  </si>
  <si>
    <t>امیر پوراسماعیل خادر</t>
  </si>
  <si>
    <t>وحید پارسامقدم</t>
  </si>
  <si>
    <t>فرشته حمیدی</t>
  </si>
  <si>
    <t>صادق نوروزیان یدکی</t>
  </si>
  <si>
    <t>جلال نیک خوی</t>
  </si>
  <si>
    <t>مجید صالحی نیا</t>
  </si>
  <si>
    <t>سعید عبدالله نژاد</t>
  </si>
  <si>
    <t>وحید  پارسا مقدم</t>
  </si>
  <si>
    <t>آموزشی</t>
  </si>
  <si>
    <t>خدمات پس از فروش</t>
  </si>
  <si>
    <t>کنتور الکترونیکی تکفاز هوشمند_مونتاژ هوشمند تکفاز-بسته بندی (شامل درپوش گذاری ترمینال و پلمپ)</t>
  </si>
  <si>
    <t>کنتور الکترونیکی تکفاز هوشمند_مونتاژ کنتور هوشمند تکفاز</t>
  </si>
  <si>
    <t>کنتور الکترونیکی تکفاز هوشمند_چسب ریزی و بستن درپوش</t>
  </si>
  <si>
    <t>سجاد  امامی کلاته</t>
  </si>
  <si>
    <t>سید مهدی  صلاحی</t>
  </si>
  <si>
    <t>سیدمهدی صلاحی</t>
  </si>
  <si>
    <t>سجاد امامی کلاته</t>
  </si>
  <si>
    <t>رضا نویدی یادگار</t>
  </si>
  <si>
    <t>جمعه کاری</t>
  </si>
  <si>
    <t>شبکاری</t>
  </si>
  <si>
    <t>OperatorID</t>
  </si>
  <si>
    <t>کلید مینیاتوری_چاپ_چاپ کلید DE تک پل وارداتی</t>
  </si>
  <si>
    <t>کلید مینیاتوری_بسته بندی_بسته بندی کلید DE تک پل وارداتی</t>
  </si>
  <si>
    <t>کلید مینیاتوری_پاک کردن_پاک کردن کلید DE تک پل وارداتی</t>
  </si>
  <si>
    <t>کلید مینیاتوری_باز کردن بدون پاک کردن_باز کردن بدون پاک کردن کلید DE چهار پل وارداتی</t>
  </si>
  <si>
    <t>سیدسجاد مرتضوی</t>
  </si>
  <si>
    <t>علی حسنی</t>
  </si>
  <si>
    <t>علی  اسماعیلی</t>
  </si>
  <si>
    <t>علی اسماعیلی زو</t>
  </si>
  <si>
    <t>مرضیه طحان</t>
  </si>
  <si>
    <t>معصومه  معروف</t>
  </si>
  <si>
    <t>رضا نجفی</t>
  </si>
  <si>
    <t>حیدر  براهویی</t>
  </si>
  <si>
    <t>معصومه معروف</t>
  </si>
  <si>
    <t>حیدر براهولیان</t>
  </si>
  <si>
    <t>کسورات</t>
  </si>
  <si>
    <t>مرخصی با حقوق</t>
  </si>
  <si>
    <t>متفرقه</t>
  </si>
  <si>
    <t>ردیف</t>
  </si>
  <si>
    <t xml:space="preserve"> عادی</t>
  </si>
  <si>
    <t>موظف</t>
  </si>
  <si>
    <t>ح در شیفت</t>
  </si>
  <si>
    <t>کل حضور</t>
  </si>
  <si>
    <t>پرداخت ی</t>
  </si>
  <si>
    <t xml:space="preserve"> تاخیر</t>
  </si>
  <si>
    <t>غیبت  روزانه</t>
  </si>
  <si>
    <t>شخصی</t>
  </si>
  <si>
    <t>استحقا  قی</t>
  </si>
  <si>
    <t>ملاحضات</t>
  </si>
  <si>
    <t>عماد اسماعیلی</t>
  </si>
  <si>
    <t>توس فیوز 
خلاصه وضعیت کارکرد</t>
  </si>
  <si>
    <t>تعطیل</t>
  </si>
  <si>
    <t>کل‌حضو ر</t>
  </si>
  <si>
    <t>محمد سراج زاده</t>
  </si>
  <si>
    <t>عاطفه صادقیان</t>
  </si>
  <si>
    <t>کامبیز میرزاخوانی</t>
  </si>
  <si>
    <t>قاسم فدایی زاده</t>
  </si>
  <si>
    <t>محمدصادق قادری</t>
  </si>
  <si>
    <t>اعظم ثابتی</t>
  </si>
  <si>
    <t>مجید سروان نژاد</t>
  </si>
  <si>
    <t>امید رضازاده</t>
  </si>
  <si>
    <t>رسول سلیمی شرق</t>
  </si>
  <si>
    <t>ابوالفضل رمضانی</t>
  </si>
  <si>
    <t>جمال عربیان قره تکان</t>
  </si>
  <si>
    <t>محسن فردوس نژاد</t>
  </si>
  <si>
    <t>مهدی ایزی</t>
  </si>
  <si>
    <t>کلید مینیاتوری_بسته بندی_بسته بندی کلید DE سه پل وارداتی</t>
  </si>
  <si>
    <t>کامبیز میرزا خانی</t>
  </si>
  <si>
    <t>محمد صادق قادری</t>
  </si>
  <si>
    <t>اعظم  ثابتی</t>
  </si>
  <si>
    <t>مهدی  ایزی</t>
  </si>
  <si>
    <t>کلید مینیاتوری_چاپ_چاپ فیوز-DE-تک پل</t>
  </si>
  <si>
    <t>کلید مینیاتوری_بسته بندی_بسته بندی فیوز-DE-سه پل</t>
  </si>
  <si>
    <t>کلید مینیاتوری_چاپ_چاپ کلید DE سه پل وارداتی</t>
  </si>
  <si>
    <t>کلید مینیاتوری_بسته بندی_بسته بندی کلید RTF دو پل وارداتی</t>
  </si>
  <si>
    <t xml:space="preserve"> تعجیل</t>
  </si>
  <si>
    <t>علی زکی پور لوخی</t>
  </si>
  <si>
    <t>ناهید وحدتی اخلاقی</t>
  </si>
  <si>
    <t>مریم مرشدلو</t>
  </si>
  <si>
    <t>محمود خوشخوی یدکی</t>
  </si>
  <si>
    <t>کنتور MTF301 با چسب زدن_مونتاژ_مونتاژ کنتور سه فاز-بسته بندی کنتور</t>
  </si>
  <si>
    <t>کنتور MTF301 با چسب زدن_مونتاژ_مونتاژ کنتور سه فاز-مونتاژ کامل کنتور سه فاز MTF301</t>
  </si>
  <si>
    <t>کلید مینیاتوری_چاپ_چاپ کلید DE دو پل وارداتی</t>
  </si>
  <si>
    <t>کلید مینیاتوری_بسته بندی_بسته بندی کلید DE دو پل وارداتی</t>
  </si>
  <si>
    <t>محمد روانستان</t>
  </si>
  <si>
    <t>مریم  مرشدلو</t>
  </si>
  <si>
    <t>تاخیر موجه</t>
  </si>
  <si>
    <t>تاخیرس رویس</t>
  </si>
  <si>
    <t>مصطفی صمدی</t>
  </si>
  <si>
    <t>رضا شاهد</t>
  </si>
  <si>
    <t>علی صفرعلی زاده</t>
  </si>
  <si>
    <t>میلاد رفعت</t>
  </si>
  <si>
    <t>محمد خسرویان</t>
  </si>
  <si>
    <t>مهدی بقائی مقدم</t>
  </si>
  <si>
    <t>جواد عبداللهی</t>
  </si>
  <si>
    <t>مرتضی اسماعیل مقدم</t>
  </si>
  <si>
    <t>محمد شیردل</t>
  </si>
  <si>
    <t>محمد تفاوتی</t>
  </si>
  <si>
    <t>كنتور MTF200F با پورت RS با چسب زدن_مونتاژ_مونتاژ کنتور تکفاز-ساخت کارتن</t>
  </si>
  <si>
    <t>سوپیچ قطع کن_مونتاژ قطع کن-صحه گذاری زوایای پلاتین ها</t>
  </si>
  <si>
    <t>سوپیچ قطع کن_مونتاژ قطع کن-مونتاژ پلاتین ها بر روی پوسته اصلی و تثبیت پلاتین ها</t>
  </si>
  <si>
    <t>سوپیچ قطع کن_مونتاژ قطع کن-پرس گرم</t>
  </si>
  <si>
    <t>سوپیچ قطع کن_مونتاژ قطع کن-هم راستایی تیغه ها (باپیچ گوشتی )</t>
  </si>
  <si>
    <t>سوپیچ قطع کن_مونتاژ قطع کن-تست استحکام پلاتین ها</t>
  </si>
  <si>
    <t>سوپیچ قطع کن_مونتاژ قطع کن-مونتاژ ماگنت داخل محفظه</t>
  </si>
  <si>
    <t>سوپیچ قطع کن_مونتاژ قطع کن-کالیبراسیون مونتاژ ماگنت</t>
  </si>
  <si>
    <t>سوپیچ قطع کن_مونتاژ قطع کن-مونتاژ کامل بعد از اماده سازی به جز درپوش قرمز</t>
  </si>
  <si>
    <t>سوپیچ قطع کن_مونتاژ قطع کن-تست شتاب</t>
  </si>
  <si>
    <t>سوپیچ قطع کن_مونتاژ قطع کن-پلمپ حرارتی پایه های پوسته اصلی</t>
  </si>
  <si>
    <t>سوپیچ قطع کن_مونتاژ قطع کن-تست همراستایی ،مونتاژ درپوش قرمز و بازرسی نهایی</t>
  </si>
  <si>
    <t>سوپیچ قطع کن_مونتاژ قطع کن-چاپ آرم ساپکو و تاریخ تولید</t>
  </si>
  <si>
    <t>سوپیچ قطع کن_مونتاژ قطع کن-بسته بندی کامل</t>
  </si>
  <si>
    <t>ساعتی_ساعتی-قطع کن سوخت</t>
  </si>
  <si>
    <t>ساعتی_ساعتی-انبار</t>
  </si>
  <si>
    <t>کلید مینیاتوری_پاک کردن_پاک کردن کلید EP سه پل وارداتی</t>
  </si>
  <si>
    <t>کنتور الکترونیکی سه فاز هوشمند DC_تست و برنامه ریزی کنتور</t>
  </si>
  <si>
    <t>کنتور الکترونیکی تکفاز هوشمند_تست و برنامه ریزی تکفاز هوشمند 2G</t>
  </si>
  <si>
    <t>کنتور ریلی SM120 B3_مونتاژ کنتور ریلی</t>
  </si>
  <si>
    <t>کنتور ریلی SM120 B3_تست کنتور ریلی</t>
  </si>
  <si>
    <t>کنتور ریلی SM120 B3_بسته بندی کنتور ریلی</t>
  </si>
  <si>
    <t>کنتور الکترونیکی سه فاز هوشمند DC_لحیم کاری و اتصال محافظ ترمینال</t>
  </si>
  <si>
    <t>علیرضا زاهدی اره</t>
  </si>
  <si>
    <t>صادق نوروزیان</t>
  </si>
  <si>
    <t>مجید  صالحی نیا</t>
  </si>
  <si>
    <t xml:space="preserve">رضا نویدی </t>
  </si>
  <si>
    <t>میلاد  رفعت</t>
  </si>
  <si>
    <t>علی صفر علیزاده</t>
  </si>
  <si>
    <t>جواد عبد الهی</t>
  </si>
  <si>
    <t>مهدی بقایی مقدم</t>
  </si>
  <si>
    <t>مرتضی اسماعیلی مقدم</t>
  </si>
  <si>
    <t>انبار / تولید</t>
  </si>
  <si>
    <t>پایه کنتور</t>
  </si>
  <si>
    <t>درصد نوبتکاری</t>
  </si>
  <si>
    <t>نوبت  کاری</t>
  </si>
  <si>
    <t>رعنا سیستانی شورستانی</t>
  </si>
  <si>
    <t>سعید صادق</t>
  </si>
  <si>
    <t>حجت بابری قرقی</t>
  </si>
  <si>
    <t>سعید شعیبی جشن آباد</t>
  </si>
  <si>
    <t>سعید عاشوری</t>
  </si>
  <si>
    <t>آذر رضایی اول</t>
  </si>
  <si>
    <t>زهرا توشه</t>
  </si>
  <si>
    <t>لیست پرسنل آماری در حقوق مرداد ماه سال 1403</t>
  </si>
  <si>
    <t>کنتور MTF301 با چسب زدن_مونتاژ_مونتاژ کنتور سه فاز-جوش آلتروسونیک (درپوش شفاف به درپوش اصلی)</t>
  </si>
  <si>
    <t>مونتاژ برد الکترونیکی_قطعه چینی برد الکترونیکی سه فاز دیجیتالی</t>
  </si>
  <si>
    <t>مونتاژ برد الکترونیکی_(تکمیل-کنترل-فریمور و برقدار کردن برد الکترونیکی کنتور سه فاز دیجیتالی</t>
  </si>
  <si>
    <t>سوپیچ قطع کن_مونتاژ قطع کن-جداسازی درپوش قرمز</t>
  </si>
  <si>
    <t>ساعتی_ساعتی-متفرقه_ساعتی- مونتاژ برد</t>
  </si>
  <si>
    <t>ساعتی_ساعتی-تعمیر برد</t>
  </si>
  <si>
    <t>کلید مینیاتوری_R.T.F_ مونتاژ RTF(4P)</t>
  </si>
  <si>
    <t>کلید مینیاتوری_R.T.F_ تست  RTF(2P)</t>
  </si>
  <si>
    <t>کلید مینیاتوری_R.T.F_ تست  RTF(4P)</t>
  </si>
  <si>
    <t>کلید مینیاتوری_چاپ_چاپ کلید DE چهار پل وارداتی</t>
  </si>
  <si>
    <t>کلید مینیاتوری_بسته بندی_بسته بندی کلید DE چهار پل وارداتی</t>
  </si>
  <si>
    <t>کلید مینیاتوری_پاک کردن_پاک کردن کلید EP چهار پل وارداتی</t>
  </si>
  <si>
    <t xml:space="preserve">کنتور الکترونیکی سه فاز هوشمند DC_جوش پورت نوری </t>
  </si>
  <si>
    <t>کنتور الکترونیکی سه فاز هوشمند DC_جوش محافظ ال سی دی</t>
  </si>
  <si>
    <t>محمد  تفاوتی</t>
  </si>
  <si>
    <t>رعنا سیستانی</t>
  </si>
  <si>
    <t>سعید  شعیبی</t>
  </si>
  <si>
    <t>حجت بابری</t>
  </si>
  <si>
    <t>محسن ملا سروستانی</t>
  </si>
  <si>
    <t>RTF</t>
  </si>
  <si>
    <t>تاریخ گزارش : ۱۴۰۳/۰۷/۰۱</t>
  </si>
  <si>
    <t>ساعت : ۰۹:۴۳</t>
  </si>
  <si>
    <t>از 1403/06/01 تا 1403/06/31</t>
  </si>
  <si>
    <t>علیرضا حلفی</t>
  </si>
  <si>
    <t>مریم حیدری</t>
  </si>
  <si>
    <t>فاطمه قلندر</t>
  </si>
  <si>
    <t>مریم خلیلی سنقرآبادی</t>
  </si>
  <si>
    <t>شهریور 1403</t>
  </si>
  <si>
    <t>کلید مینیاتوری_مونتاژ_مونتاژ فیوز-مونتاژکامل DE-تک پل</t>
  </si>
  <si>
    <t>کلید مینیاتوری_بسته بندی_بسته بندی فیوز-DE-تک پل</t>
  </si>
  <si>
    <t>00-كنتور MTF200F با چسب زدن_مونتاژ_ACTIVATION0</t>
  </si>
  <si>
    <t>چاپ لیزر (نیم پلیت و درپوش)_چاپ درپوش باطری سه فاز با یک دستگاه</t>
  </si>
  <si>
    <t>چاپ لیزر (نیم پلیت و درپوش)_چاپ مشخصات ، بارکد و نام شهر با یک دستگاه</t>
  </si>
  <si>
    <t>کنتور الکترونیکی سه فاز هوشمند CT و CT/PT_مونتاژ هوشمندCT-آپدیت ماژول GPRS</t>
  </si>
  <si>
    <t>کلید مینیاتوری_R.T.F_ چاپ RTF</t>
  </si>
  <si>
    <t>پایه کنتور 119_پایه 119 بدون کنتور با ترمینال بلک سه پیچ و مانع سیم</t>
  </si>
  <si>
    <t>کلید مینیاتوری_بسته بندی_بسته بندی کلید RTF چهار پل وارداتی</t>
  </si>
  <si>
    <t>کلید مینیاتوری_پاک کردن_پاک کردن کلید EP تک پل وارداتی</t>
  </si>
  <si>
    <t>کلید مینیاتوری_پاک کردن_پاک کردن کلید RTF چهار پل وارداتی</t>
  </si>
  <si>
    <t xml:space="preserve"> پایه 121 با کنتور هوشمند تکفاز</t>
  </si>
  <si>
    <t>مریم خلیلی</t>
  </si>
  <si>
    <t>محمد  شیردل</t>
  </si>
  <si>
    <t>کنتور</t>
  </si>
  <si>
    <t>استعفا</t>
  </si>
  <si>
    <t>با نظر سرپرستان تولید و بخاطر آموزش این افراد در فرایندهای جدید ، در کسر کار این افراد تخفیف اعمال شده است</t>
  </si>
  <si>
    <t>توضیحات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</si>
</sst>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h]:mm"/>
    <numFmt numFmtId="165" formatCode="0.0"/>
  </numFmts>
  <fonts count="4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B Nazanin"/>
      <charset val="178"/>
    </font>
    <font>
      <sz val="11"/>
      <name val="B Nazanin"/>
      <charset val="178"/>
    </font>
    <font>
      <b/>
      <sz val="8"/>
      <color theme="1"/>
      <name val="Tahoma"/>
      <family val="2"/>
    </font>
    <font>
      <b/>
      <sz val="8"/>
      <name val="Tahoma"/>
      <family val="2"/>
    </font>
    <font>
      <b/>
      <sz val="7"/>
      <name val="B Titr"/>
      <charset val="178"/>
    </font>
    <font>
      <b/>
      <sz val="9"/>
      <name val="B Nazanin"/>
      <charset val="178"/>
    </font>
    <font>
      <b/>
      <sz val="8"/>
      <color theme="1"/>
      <name val="B Titr"/>
      <charset val="178"/>
    </font>
    <font>
      <sz val="10"/>
      <name val="B Titr"/>
      <charset val="178"/>
    </font>
    <font>
      <b/>
      <sz val="10"/>
      <color theme="1"/>
      <name val="B Titr"/>
      <charset val="178"/>
    </font>
    <font>
      <b/>
      <sz val="11"/>
      <color theme="1"/>
      <name val="Tahoma"/>
      <family val="2"/>
    </font>
    <font>
      <b/>
      <sz val="12"/>
      <name val="B Nazanin"/>
      <charset val="178"/>
    </font>
    <font>
      <sz val="11"/>
      <color theme="1"/>
      <name val="Calibri"/>
      <family val="2"/>
      <charset val="178"/>
      <scheme val="minor"/>
    </font>
    <font>
      <b/>
      <sz val="10"/>
      <name val="B Nazanin"/>
      <charset val="178"/>
    </font>
    <font>
      <b/>
      <sz val="11"/>
      <name val="B Nazanin"/>
      <charset val="178"/>
    </font>
    <font>
      <sz val="11"/>
      <name val="Calibri"/>
      <family val="2"/>
      <scheme val="minor"/>
    </font>
    <font>
      <b/>
      <sz val="24"/>
      <name val="B Nazanin"/>
      <charset val="178"/>
    </font>
    <font>
      <b/>
      <sz val="10"/>
      <color theme="1"/>
      <name val="Tahoma"/>
      <family val="2"/>
    </font>
    <font>
      <sz val="8.25"/>
      <color indexed="12"/>
      <name val="Microsoft Sans Serif"/>
      <family val="2"/>
    </font>
    <font>
      <sz val="8.25"/>
      <color indexed="12"/>
      <name val="Microsoft Sans Serif"/>
      <family val="2"/>
    </font>
    <font>
      <b/>
      <sz val="8"/>
      <color rgb="FFFF0000"/>
      <name val="Tahoma"/>
      <family val="2"/>
    </font>
    <font>
      <sz val="10"/>
      <name val="Arial"/>
      <family val="2"/>
    </font>
    <font>
      <sz val="8"/>
      <name val="Calibri"/>
      <family val="2"/>
      <scheme val="minor"/>
    </font>
    <font>
      <sz val="10"/>
      <name val="Arial"/>
      <family val="2"/>
    </font>
    <font>
      <b/>
      <sz val="14"/>
      <color rgb="FFFF0000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sz val="10"/>
      <name val="Tahoma"/>
      <family val="2"/>
    </font>
    <font>
      <b/>
      <sz val="8"/>
      <name val="Microsoft Sans Serif"/>
      <family val="2"/>
    </font>
  </fonts>
  <fills count="4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11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11"/>
      </patternFill>
    </fill>
    <fill>
      <patternFill patternType="solid">
        <fgColor theme="0"/>
        <bgColor theme="4" tint="0.79998168889431442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theme="4" tint="0.79998168889431442"/>
      </patternFill>
    </fill>
  </fills>
  <borders count="4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/>
      <bottom style="medium">
        <color auto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/>
      <top style="hair">
        <color auto="1"/>
      </top>
      <bottom/>
      <diagonal/>
    </border>
    <border>
      <left style="medium">
        <color auto="1"/>
      </left>
      <right style="medium">
        <color auto="1"/>
      </right>
      <top style="hair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 style="hair">
        <color auto="1"/>
      </top>
      <bottom style="thin">
        <color theme="4" tint="0.3999755851924192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medium">
        <color auto="1"/>
      </left>
      <right/>
      <top style="thin">
        <color theme="4" tint="0.39997558519241921"/>
      </top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46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29" fillId="0" borderId="0"/>
    <xf numFmtId="0" fontId="38" fillId="0" borderId="0"/>
    <xf numFmtId="0" fontId="40" fillId="0" borderId="0"/>
    <xf numFmtId="0" fontId="42" fillId="0" borderId="0"/>
  </cellStyleXfs>
  <cellXfs count="184">
    <xf numFmtId="0" fontId="0" fillId="0" borderId="0" xfId="0"/>
    <xf numFmtId="0" fontId="0" fillId="0" borderId="0" xfId="0" applyAlignment="1">
      <alignment horizontal="center" vertical="center"/>
    </xf>
    <xf numFmtId="0" fontId="18" fillId="0" borderId="13" xfId="0" applyFont="1" applyBorder="1"/>
    <xf numFmtId="0" fontId="18" fillId="0" borderId="14" xfId="0" applyFont="1" applyBorder="1"/>
    <xf numFmtId="0" fontId="18" fillId="0" borderId="16" xfId="0" applyFont="1" applyBorder="1"/>
    <xf numFmtId="0" fontId="0" fillId="0" borderId="0" xfId="0" applyAlignment="1">
      <alignment horizontal="center"/>
    </xf>
    <xf numFmtId="0" fontId="18" fillId="0" borderId="0" xfId="0" applyFont="1"/>
    <xf numFmtId="0" fontId="18" fillId="0" borderId="15" xfId="0" applyFont="1" applyBorder="1"/>
    <xf numFmtId="0" fontId="18" fillId="0" borderId="15" xfId="0" quotePrefix="1" applyFont="1" applyBorder="1"/>
    <xf numFmtId="0" fontId="18" fillId="0" borderId="17" xfId="0" applyFont="1" applyBorder="1"/>
    <xf numFmtId="0" fontId="18" fillId="0" borderId="18" xfId="0" applyFont="1" applyBorder="1"/>
    <xf numFmtId="0" fontId="18" fillId="34" borderId="13" xfId="0" applyFont="1" applyFill="1" applyBorder="1" applyAlignment="1">
      <alignment horizontal="center"/>
    </xf>
    <xf numFmtId="0" fontId="18" fillId="34" borderId="14" xfId="0" applyFont="1" applyFill="1" applyBorder="1" applyAlignment="1">
      <alignment horizontal="center"/>
    </xf>
    <xf numFmtId="0" fontId="18" fillId="34" borderId="15" xfId="0" applyFont="1" applyFill="1" applyBorder="1"/>
    <xf numFmtId="0" fontId="18" fillId="34" borderId="15" xfId="0" applyFont="1" applyFill="1" applyBorder="1" applyAlignment="1">
      <alignment horizontal="center" vertical="center"/>
    </xf>
    <xf numFmtId="0" fontId="18" fillId="0" borderId="15" xfId="0" applyFont="1" applyBorder="1" applyAlignment="1">
      <alignment horizontal="center" vertical="center"/>
    </xf>
    <xf numFmtId="0" fontId="18" fillId="0" borderId="18" xfId="0" applyFont="1" applyBorder="1" applyAlignment="1">
      <alignment horizontal="center" vertical="center"/>
    </xf>
    <xf numFmtId="0" fontId="18" fillId="34" borderId="19" xfId="0" applyFont="1" applyFill="1" applyBorder="1" applyAlignment="1">
      <alignment horizontal="center" vertical="center"/>
    </xf>
    <xf numFmtId="0" fontId="18" fillId="34" borderId="20" xfId="0" applyFont="1" applyFill="1" applyBorder="1" applyAlignment="1">
      <alignment horizontal="center" vertical="center"/>
    </xf>
    <xf numFmtId="0" fontId="18" fillId="34" borderId="21" xfId="0" applyFont="1" applyFill="1" applyBorder="1" applyAlignment="1">
      <alignment horizontal="center" vertical="center"/>
    </xf>
    <xf numFmtId="0" fontId="18" fillId="0" borderId="11" xfId="0" applyFont="1" applyBorder="1" applyAlignment="1">
      <alignment horizontal="center" vertical="center"/>
    </xf>
    <xf numFmtId="0" fontId="18" fillId="0" borderId="12" xfId="0" applyFont="1" applyBorder="1" applyAlignment="1">
      <alignment horizontal="center" vertical="center"/>
    </xf>
    <xf numFmtId="0" fontId="18" fillId="0" borderId="14" xfId="0" applyFont="1" applyBorder="1" applyAlignment="1">
      <alignment horizontal="center" vertical="center"/>
    </xf>
    <xf numFmtId="0" fontId="18" fillId="0" borderId="17" xfId="0" applyFont="1" applyBorder="1" applyAlignment="1">
      <alignment horizontal="center" vertical="center"/>
    </xf>
    <xf numFmtId="0" fontId="18" fillId="0" borderId="10" xfId="0" applyFont="1" applyBorder="1" applyAlignment="1">
      <alignment horizontal="right" vertical="center"/>
    </xf>
    <xf numFmtId="0" fontId="18" fillId="0" borderId="13" xfId="0" applyFont="1" applyBorder="1" applyAlignment="1">
      <alignment horizontal="right" vertical="center"/>
    </xf>
    <xf numFmtId="0" fontId="18" fillId="0" borderId="16" xfId="0" applyFont="1" applyBorder="1" applyAlignment="1">
      <alignment horizontal="right" vertical="center"/>
    </xf>
    <xf numFmtId="0" fontId="18" fillId="0" borderId="0" xfId="0" applyFont="1" applyAlignment="1">
      <alignment horizontal="center" vertical="center"/>
    </xf>
    <xf numFmtId="0" fontId="18" fillId="0" borderId="10" xfId="0" applyFont="1" applyBorder="1" applyAlignment="1">
      <alignment horizontal="right"/>
    </xf>
    <xf numFmtId="0" fontId="18" fillId="0" borderId="11" xfId="0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0" fontId="18" fillId="0" borderId="13" xfId="0" applyFont="1" applyBorder="1" applyAlignment="1">
      <alignment horizontal="right"/>
    </xf>
    <xf numFmtId="0" fontId="18" fillId="0" borderId="14" xfId="0" applyFont="1" applyBorder="1" applyAlignment="1">
      <alignment horizontal="center"/>
    </xf>
    <xf numFmtId="0" fontId="18" fillId="0" borderId="15" xfId="0" applyFont="1" applyBorder="1" applyAlignment="1">
      <alignment horizontal="center"/>
    </xf>
    <xf numFmtId="0" fontId="18" fillId="0" borderId="16" xfId="0" applyFont="1" applyBorder="1" applyAlignment="1">
      <alignment horizontal="right"/>
    </xf>
    <xf numFmtId="0" fontId="18" fillId="0" borderId="17" xfId="0" applyFont="1" applyBorder="1" applyAlignment="1">
      <alignment horizontal="center"/>
    </xf>
    <xf numFmtId="0" fontId="18" fillId="0" borderId="18" xfId="0" applyFont="1" applyBorder="1" applyAlignment="1">
      <alignment horizontal="center"/>
    </xf>
    <xf numFmtId="0" fontId="18" fillId="33" borderId="10" xfId="0" applyFont="1" applyFill="1" applyBorder="1" applyAlignment="1">
      <alignment horizontal="center" vertical="center"/>
    </xf>
    <xf numFmtId="0" fontId="18" fillId="33" borderId="11" xfId="0" applyFont="1" applyFill="1" applyBorder="1" applyAlignment="1">
      <alignment horizontal="center" vertical="center"/>
    </xf>
    <xf numFmtId="0" fontId="18" fillId="33" borderId="12" xfId="0" applyFont="1" applyFill="1" applyBorder="1" applyAlignment="1">
      <alignment horizontal="center" vertical="center"/>
    </xf>
    <xf numFmtId="0" fontId="18" fillId="0" borderId="0" xfId="0" applyFont="1" applyAlignment="1">
      <alignment horizontal="right"/>
    </xf>
    <xf numFmtId="0" fontId="18" fillId="0" borderId="0" xfId="0" applyFont="1" applyAlignment="1">
      <alignment horizontal="center"/>
    </xf>
    <xf numFmtId="0" fontId="18" fillId="0" borderId="20" xfId="0" applyFont="1" applyBorder="1" applyAlignment="1">
      <alignment horizontal="right"/>
    </xf>
    <xf numFmtId="0" fontId="18" fillId="0" borderId="21" xfId="0" applyFont="1" applyBorder="1" applyAlignment="1">
      <alignment horizontal="center"/>
    </xf>
    <xf numFmtId="0" fontId="18" fillId="34" borderId="13" xfId="0" applyFont="1" applyFill="1" applyBorder="1" applyAlignment="1">
      <alignment horizontal="center" vertical="center"/>
    </xf>
    <xf numFmtId="0" fontId="18" fillId="34" borderId="14" xfId="0" applyFont="1" applyFill="1" applyBorder="1" applyAlignment="1">
      <alignment horizontal="center" vertical="center"/>
    </xf>
    <xf numFmtId="0" fontId="18" fillId="0" borderId="22" xfId="0" applyFont="1" applyBorder="1" applyAlignment="1">
      <alignment horizontal="center"/>
    </xf>
    <xf numFmtId="0" fontId="18" fillId="0" borderId="23" xfId="0" applyFont="1" applyBorder="1" applyAlignment="1">
      <alignment horizontal="center"/>
    </xf>
    <xf numFmtId="0" fontId="18" fillId="34" borderId="25" xfId="0" applyFont="1" applyFill="1" applyBorder="1" applyAlignment="1">
      <alignment horizontal="center"/>
    </xf>
    <xf numFmtId="0" fontId="18" fillId="0" borderId="25" xfId="0" applyFont="1" applyBorder="1"/>
    <xf numFmtId="0" fontId="18" fillId="0" borderId="28" xfId="0" applyFont="1" applyBorder="1"/>
    <xf numFmtId="0" fontId="18" fillId="34" borderId="26" xfId="0" applyFont="1" applyFill="1" applyBorder="1" applyAlignment="1">
      <alignment horizontal="center" vertical="center"/>
    </xf>
    <xf numFmtId="0" fontId="18" fillId="0" borderId="24" xfId="0" applyFont="1" applyBorder="1" applyAlignment="1">
      <alignment horizontal="center"/>
    </xf>
    <xf numFmtId="0" fontId="18" fillId="0" borderId="25" xfId="0" applyFont="1" applyBorder="1" applyAlignment="1">
      <alignment horizontal="center"/>
    </xf>
    <xf numFmtId="0" fontId="18" fillId="0" borderId="28" xfId="0" applyFont="1" applyBorder="1" applyAlignment="1">
      <alignment horizontal="center"/>
    </xf>
    <xf numFmtId="0" fontId="18" fillId="0" borderId="25" xfId="0" applyFont="1" applyBorder="1" applyAlignment="1">
      <alignment horizontal="center" vertical="center"/>
    </xf>
    <xf numFmtId="0" fontId="18" fillId="0" borderId="28" xfId="0" applyFont="1" applyBorder="1" applyAlignment="1">
      <alignment horizontal="center" vertical="center"/>
    </xf>
    <xf numFmtId="0" fontId="18" fillId="0" borderId="26" xfId="0" applyFont="1" applyBorder="1" applyAlignment="1">
      <alignment horizontal="center"/>
    </xf>
    <xf numFmtId="0" fontId="18" fillId="34" borderId="25" xfId="0" applyFont="1" applyFill="1" applyBorder="1" applyAlignment="1">
      <alignment horizontal="center" vertical="center"/>
    </xf>
    <xf numFmtId="0" fontId="18" fillId="0" borderId="29" xfId="0" applyFont="1" applyBorder="1" applyAlignment="1">
      <alignment horizontal="center"/>
    </xf>
    <xf numFmtId="0" fontId="18" fillId="0" borderId="27" xfId="0" applyFont="1" applyBorder="1" applyAlignment="1">
      <alignment horizontal="center" vertical="center"/>
    </xf>
    <xf numFmtId="0" fontId="18" fillId="33" borderId="24" xfId="0" applyFont="1" applyFill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32" fillId="0" borderId="0" xfId="0" applyFont="1"/>
    <xf numFmtId="1" fontId="32" fillId="0" borderId="0" xfId="0" applyNumberFormat="1" applyFont="1"/>
    <xf numFmtId="0" fontId="0" fillId="37" borderId="0" xfId="0" applyFill="1" applyAlignment="1">
      <alignment horizontal="center" vertical="center"/>
    </xf>
    <xf numFmtId="164" fontId="31" fillId="36" borderId="14" xfId="0" applyNumberFormat="1" applyFont="1" applyFill="1" applyBorder="1" applyAlignment="1">
      <alignment horizontal="right"/>
    </xf>
    <xf numFmtId="0" fontId="28" fillId="36" borderId="14" xfId="0" applyFont="1" applyFill="1" applyBorder="1"/>
    <xf numFmtId="0" fontId="32" fillId="36" borderId="30" xfId="0" applyFont="1" applyFill="1" applyBorder="1" applyAlignment="1">
      <alignment horizontal="center" vertical="center"/>
    </xf>
    <xf numFmtId="0" fontId="32" fillId="36" borderId="0" xfId="0" applyFont="1" applyFill="1"/>
    <xf numFmtId="0" fontId="19" fillId="36" borderId="0" xfId="0" applyFont="1" applyFill="1" applyAlignment="1">
      <alignment horizontal="center" vertical="center"/>
    </xf>
    <xf numFmtId="0" fontId="18" fillId="36" borderId="0" xfId="0" applyFont="1" applyFill="1" applyAlignment="1">
      <alignment horizontal="center" vertical="center"/>
    </xf>
    <xf numFmtId="0" fontId="32" fillId="0" borderId="0" xfId="0" applyFont="1" applyAlignment="1">
      <alignment horizontal="center"/>
    </xf>
    <xf numFmtId="49" fontId="32" fillId="0" borderId="0" xfId="0" applyNumberFormat="1" applyFont="1"/>
    <xf numFmtId="165" fontId="0" fillId="0" borderId="0" xfId="0" applyNumberFormat="1" applyAlignment="1">
      <alignment horizontal="center" vertical="center"/>
    </xf>
    <xf numFmtId="0" fontId="0" fillId="35" borderId="0" xfId="0" applyFill="1" applyAlignment="1">
      <alignment horizontal="center" vertical="center"/>
    </xf>
    <xf numFmtId="0" fontId="35" fillId="39" borderId="37" xfId="0" applyFont="1" applyFill="1" applyBorder="1" applyAlignment="1">
      <alignment vertical="center" wrapText="1" readingOrder="2"/>
    </xf>
    <xf numFmtId="0" fontId="35" fillId="39" borderId="37" xfId="0" applyFont="1" applyFill="1" applyBorder="1" applyAlignment="1">
      <alignment horizontal="right" vertical="center" wrapText="1" readingOrder="2"/>
    </xf>
    <xf numFmtId="0" fontId="35" fillId="39" borderId="37" xfId="0" applyFont="1" applyFill="1" applyBorder="1" applyAlignment="1">
      <alignment horizontal="center" vertical="center" wrapText="1" readingOrder="2"/>
    </xf>
    <xf numFmtId="0" fontId="14" fillId="36" borderId="0" xfId="0" applyFont="1" applyFill="1"/>
    <xf numFmtId="0" fontId="35" fillId="36" borderId="37" xfId="0" applyFont="1" applyFill="1" applyBorder="1" applyAlignment="1">
      <alignment horizontal="right" vertical="center" wrapText="1" readingOrder="2"/>
    </xf>
    <xf numFmtId="0" fontId="0" fillId="0" borderId="0" xfId="0" applyAlignment="1">
      <alignment horizontal="center" vertical="center" wrapText="1"/>
    </xf>
    <xf numFmtId="0" fontId="0" fillId="40" borderId="0" xfId="0" applyFill="1" applyAlignment="1">
      <alignment vertical="center" wrapText="1"/>
    </xf>
    <xf numFmtId="0" fontId="0" fillId="40" borderId="0" xfId="0" applyFill="1"/>
    <xf numFmtId="0" fontId="19" fillId="0" borderId="0" xfId="0" applyFont="1" applyAlignment="1">
      <alignment horizontal="center" vertical="center" wrapText="1"/>
    </xf>
    <xf numFmtId="0" fontId="30" fillId="38" borderId="14" xfId="0" applyFont="1" applyFill="1" applyBorder="1" applyAlignment="1">
      <alignment horizontal="center" vertical="top" wrapText="1"/>
    </xf>
    <xf numFmtId="49" fontId="30" fillId="38" borderId="14" xfId="0" applyNumberFormat="1" applyFont="1" applyFill="1" applyBorder="1" applyAlignment="1">
      <alignment vertical="top" wrapText="1"/>
    </xf>
    <xf numFmtId="1" fontId="30" fillId="38" borderId="14" xfId="0" applyNumberFormat="1" applyFont="1" applyFill="1" applyBorder="1" applyAlignment="1">
      <alignment horizontal="center" vertical="top" wrapText="1"/>
    </xf>
    <xf numFmtId="0" fontId="30" fillId="38" borderId="31" xfId="0" applyFont="1" applyFill="1" applyBorder="1" applyAlignment="1">
      <alignment horizontal="center" vertical="top" wrapText="1"/>
    </xf>
    <xf numFmtId="0" fontId="32" fillId="0" borderId="0" xfId="0" applyFont="1" applyAlignment="1">
      <alignment vertical="top" wrapText="1"/>
    </xf>
    <xf numFmtId="0" fontId="35" fillId="41" borderId="37" xfId="0" applyFont="1" applyFill="1" applyBorder="1" applyAlignment="1">
      <alignment horizontal="right" vertical="center" wrapText="1" readingOrder="2"/>
    </xf>
    <xf numFmtId="0" fontId="28" fillId="35" borderId="14" xfId="0" applyFont="1" applyFill="1" applyBorder="1"/>
    <xf numFmtId="0" fontId="32" fillId="35" borderId="30" xfId="0" applyFont="1" applyFill="1" applyBorder="1" applyAlignment="1">
      <alignment horizontal="center" vertical="center"/>
    </xf>
    <xf numFmtId="0" fontId="23" fillId="36" borderId="35" xfId="0" applyFont="1" applyFill="1" applyBorder="1" applyAlignment="1">
      <alignment horizontal="right" vertical="center"/>
    </xf>
    <xf numFmtId="4" fontId="21" fillId="36" borderId="36" xfId="0" applyNumberFormat="1" applyFont="1" applyFill="1" applyBorder="1" applyAlignment="1">
      <alignment horizontal="center" vertical="center"/>
    </xf>
    <xf numFmtId="0" fontId="21" fillId="36" borderId="35" xfId="0" applyFont="1" applyFill="1" applyBorder="1" applyAlignment="1">
      <alignment horizontal="center" vertical="center"/>
    </xf>
    <xf numFmtId="4" fontId="21" fillId="36" borderId="35" xfId="0" applyNumberFormat="1" applyFont="1" applyFill="1" applyBorder="1" applyAlignment="1">
      <alignment horizontal="center" vertical="center"/>
    </xf>
    <xf numFmtId="4" fontId="21" fillId="36" borderId="42" xfId="0" applyNumberFormat="1" applyFont="1" applyFill="1" applyBorder="1" applyAlignment="1">
      <alignment horizontal="center" vertical="center"/>
    </xf>
    <xf numFmtId="1" fontId="20" fillId="36" borderId="35" xfId="0" applyNumberFormat="1" applyFont="1" applyFill="1" applyBorder="1" applyAlignment="1">
      <alignment horizontal="center" vertical="center"/>
    </xf>
    <xf numFmtId="1" fontId="37" fillId="36" borderId="35" xfId="0" applyNumberFormat="1" applyFont="1" applyFill="1" applyBorder="1" applyAlignment="1">
      <alignment horizontal="center" vertical="center"/>
    </xf>
    <xf numFmtId="1" fontId="21" fillId="36" borderId="35" xfId="0" applyNumberFormat="1" applyFont="1" applyFill="1" applyBorder="1" applyAlignment="1">
      <alignment horizontal="center" vertical="center"/>
    </xf>
    <xf numFmtId="4" fontId="21" fillId="36" borderId="43" xfId="0" applyNumberFormat="1" applyFont="1" applyFill="1" applyBorder="1" applyAlignment="1">
      <alignment horizontal="center" vertical="center"/>
    </xf>
    <xf numFmtId="1" fontId="35" fillId="39" borderId="37" xfId="0" applyNumberFormat="1" applyFont="1" applyFill="1" applyBorder="1" applyAlignment="1">
      <alignment horizontal="center" vertical="center" wrapText="1" readingOrder="2"/>
    </xf>
    <xf numFmtId="1" fontId="36" fillId="36" borderId="37" xfId="0" applyNumberFormat="1" applyFont="1" applyFill="1" applyBorder="1" applyAlignment="1">
      <alignment horizontal="center" vertical="center" wrapText="1" readingOrder="2"/>
    </xf>
    <xf numFmtId="1" fontId="35" fillId="36" borderId="37" xfId="0" applyNumberFormat="1" applyFont="1" applyFill="1" applyBorder="1" applyAlignment="1">
      <alignment horizontal="center" vertical="center" wrapText="1" readingOrder="2"/>
    </xf>
    <xf numFmtId="0" fontId="23" fillId="36" borderId="43" xfId="0" applyFont="1" applyFill="1" applyBorder="1" applyAlignment="1">
      <alignment horizontal="right" vertical="center"/>
    </xf>
    <xf numFmtId="1" fontId="0" fillId="40" borderId="0" xfId="0" applyNumberFormat="1" applyFill="1"/>
    <xf numFmtId="0" fontId="41" fillId="36" borderId="0" xfId="0" applyFont="1" applyFill="1" applyAlignment="1">
      <alignment horizontal="center" vertical="center"/>
    </xf>
    <xf numFmtId="0" fontId="21" fillId="36" borderId="32" xfId="0" applyFont="1" applyFill="1" applyBorder="1" applyAlignment="1">
      <alignment horizontal="left" vertical="center"/>
    </xf>
    <xf numFmtId="0" fontId="28" fillId="36" borderId="32" xfId="0" applyFont="1" applyFill="1" applyBorder="1" applyAlignment="1">
      <alignment vertical="center"/>
    </xf>
    <xf numFmtId="0" fontId="28" fillId="36" borderId="0" xfId="0" applyFont="1" applyFill="1" applyAlignment="1">
      <alignment vertical="center"/>
    </xf>
    <xf numFmtId="0" fontId="34" fillId="36" borderId="0" xfId="0" applyFont="1" applyFill="1" applyAlignment="1">
      <alignment horizontal="center" vertical="center"/>
    </xf>
    <xf numFmtId="0" fontId="25" fillId="36" borderId="32" xfId="0" applyFont="1" applyFill="1" applyBorder="1" applyAlignment="1">
      <alignment horizontal="left" vertical="center"/>
    </xf>
    <xf numFmtId="0" fontId="27" fillId="36" borderId="0" xfId="0" applyFont="1" applyFill="1" applyAlignment="1">
      <alignment horizontal="right" vertical="center" indent="1"/>
    </xf>
    <xf numFmtId="0" fontId="26" fillId="36" borderId="32" xfId="0" applyFont="1" applyFill="1" applyBorder="1" applyAlignment="1">
      <alignment vertical="center"/>
    </xf>
    <xf numFmtId="0" fontId="20" fillId="36" borderId="0" xfId="0" applyFont="1" applyFill="1" applyAlignment="1">
      <alignment horizontal="center" vertical="center"/>
    </xf>
    <xf numFmtId="4" fontId="20" fillId="36" borderId="0" xfId="0" applyNumberFormat="1" applyFont="1" applyFill="1" applyAlignment="1">
      <alignment horizontal="center" vertical="center"/>
    </xf>
    <xf numFmtId="4" fontId="21" fillId="36" borderId="0" xfId="0" applyNumberFormat="1" applyFont="1" applyFill="1" applyAlignment="1">
      <alignment horizontal="center" vertical="center"/>
    </xf>
    <xf numFmtId="0" fontId="21" fillId="36" borderId="38" xfId="0" applyFont="1" applyFill="1" applyBorder="1" applyAlignment="1">
      <alignment horizontal="center" vertical="center" wrapText="1"/>
    </xf>
    <xf numFmtId="0" fontId="22" fillId="36" borderId="38" xfId="0" applyFont="1" applyFill="1" applyBorder="1" applyAlignment="1">
      <alignment horizontal="center" vertical="center" wrapText="1"/>
    </xf>
    <xf numFmtId="0" fontId="22" fillId="36" borderId="40" xfId="0" applyFont="1" applyFill="1" applyBorder="1" applyAlignment="1">
      <alignment horizontal="center" vertical="center" wrapText="1"/>
    </xf>
    <xf numFmtId="0" fontId="22" fillId="36" borderId="38" xfId="0" applyFont="1" applyFill="1" applyBorder="1" applyAlignment="1">
      <alignment horizontal="center" vertical="center" wrapText="1" readingOrder="2"/>
    </xf>
    <xf numFmtId="4" fontId="22" fillId="36" borderId="38" xfId="0" applyNumberFormat="1" applyFont="1" applyFill="1" applyBorder="1" applyAlignment="1">
      <alignment horizontal="center" vertical="center" wrapText="1"/>
    </xf>
    <xf numFmtId="4" fontId="22" fillId="36" borderId="40" xfId="0" applyNumberFormat="1" applyFont="1" applyFill="1" applyBorder="1" applyAlignment="1">
      <alignment horizontal="center" vertical="center" wrapText="1"/>
    </xf>
    <xf numFmtId="4" fontId="22" fillId="36" borderId="38" xfId="0" applyNumberFormat="1" applyFont="1" applyFill="1" applyBorder="1" applyAlignment="1">
      <alignment horizontal="center" vertical="top" wrapText="1"/>
    </xf>
    <xf numFmtId="4" fontId="22" fillId="36" borderId="41" xfId="0" applyNumberFormat="1" applyFont="1" applyFill="1" applyBorder="1" applyAlignment="1">
      <alignment horizontal="center" vertical="top" wrapText="1"/>
    </xf>
    <xf numFmtId="0" fontId="19" fillId="36" borderId="35" xfId="0" applyFont="1" applyFill="1" applyBorder="1" applyAlignment="1">
      <alignment horizontal="center" vertical="center"/>
    </xf>
    <xf numFmtId="0" fontId="23" fillId="42" borderId="35" xfId="0" applyFont="1" applyFill="1" applyBorder="1" applyAlignment="1">
      <alignment horizontal="right" vertical="center"/>
    </xf>
    <xf numFmtId="1" fontId="21" fillId="42" borderId="35" xfId="0" applyNumberFormat="1" applyFont="1" applyFill="1" applyBorder="1" applyAlignment="1">
      <alignment horizontal="center" vertical="center"/>
    </xf>
    <xf numFmtId="1" fontId="20" fillId="42" borderId="35" xfId="0" applyNumberFormat="1" applyFont="1" applyFill="1" applyBorder="1" applyAlignment="1">
      <alignment horizontal="center" vertical="center"/>
    </xf>
    <xf numFmtId="1" fontId="37" fillId="42" borderId="35" xfId="0" applyNumberFormat="1" applyFont="1" applyFill="1" applyBorder="1" applyAlignment="1">
      <alignment horizontal="center" vertical="center"/>
    </xf>
    <xf numFmtId="0" fontId="23" fillId="42" borderId="43" xfId="0" applyFont="1" applyFill="1" applyBorder="1" applyAlignment="1">
      <alignment horizontal="right" vertical="center"/>
    </xf>
    <xf numFmtId="0" fontId="23" fillId="42" borderId="39" xfId="0" applyFont="1" applyFill="1" applyBorder="1" applyAlignment="1">
      <alignment horizontal="right" vertical="center"/>
    </xf>
    <xf numFmtId="0" fontId="23" fillId="36" borderId="0" xfId="0" applyFont="1" applyFill="1" applyAlignment="1">
      <alignment horizontal="right" vertical="center"/>
    </xf>
    <xf numFmtId="0" fontId="23" fillId="36" borderId="39" xfId="0" applyFont="1" applyFill="1" applyBorder="1" applyAlignment="1">
      <alignment horizontal="right" vertical="center"/>
    </xf>
    <xf numFmtId="0" fontId="23" fillId="42" borderId="0" xfId="0" applyFont="1" applyFill="1" applyAlignment="1">
      <alignment horizontal="right" vertical="center"/>
    </xf>
    <xf numFmtId="0" fontId="21" fillId="36" borderId="0" xfId="0" applyFont="1" applyFill="1" applyAlignment="1">
      <alignment horizontal="center" vertical="center"/>
    </xf>
    <xf numFmtId="0" fontId="35" fillId="36" borderId="37" xfId="0" applyFont="1" applyFill="1" applyBorder="1" applyAlignment="1">
      <alignment vertical="center" wrapText="1" readingOrder="2"/>
    </xf>
    <xf numFmtId="0" fontId="0" fillId="43" borderId="0" xfId="0" applyFill="1"/>
    <xf numFmtId="0" fontId="18" fillId="43" borderId="0" xfId="0" applyFont="1" applyFill="1" applyAlignment="1">
      <alignment horizontal="center" vertical="center"/>
    </xf>
    <xf numFmtId="0" fontId="19" fillId="43" borderId="0" xfId="0" applyFont="1" applyFill="1" applyAlignment="1">
      <alignment horizontal="center" vertical="center"/>
    </xf>
    <xf numFmtId="0" fontId="38" fillId="0" borderId="0" xfId="45" applyFont="1"/>
    <xf numFmtId="0" fontId="43" fillId="0" borderId="0" xfId="0" applyFont="1" applyAlignment="1">
      <alignment vertical="top" readingOrder="1"/>
    </xf>
    <xf numFmtId="0" fontId="44" fillId="0" borderId="0" xfId="0" applyFont="1" applyAlignment="1">
      <alignment vertical="center" wrapText="1" readingOrder="2"/>
    </xf>
    <xf numFmtId="0" fontId="44" fillId="0" borderId="0" xfId="0" applyFont="1" applyAlignment="1">
      <alignment vertical="top" readingOrder="2"/>
    </xf>
    <xf numFmtId="0" fontId="44" fillId="0" borderId="44" xfId="0" applyFont="1" applyBorder="1" applyAlignment="1">
      <alignment vertical="top" readingOrder="2"/>
    </xf>
    <xf numFmtId="0" fontId="44" fillId="0" borderId="0" xfId="0" applyFont="1" applyAlignment="1">
      <alignment vertical="center" readingOrder="2"/>
    </xf>
    <xf numFmtId="0" fontId="44" fillId="0" borderId="44" xfId="0" applyFont="1" applyBorder="1" applyAlignment="1">
      <alignment vertical="center" readingOrder="2"/>
    </xf>
    <xf numFmtId="0" fontId="43" fillId="0" borderId="44" xfId="0" applyFont="1" applyBorder="1" applyAlignment="1">
      <alignment vertical="top" readingOrder="1"/>
    </xf>
    <xf numFmtId="0" fontId="45" fillId="0" borderId="45" xfId="0" applyFont="1" applyBorder="1" applyAlignment="1">
      <alignment vertical="center" wrapText="1" readingOrder="1"/>
    </xf>
    <xf numFmtId="0" fontId="45" fillId="0" borderId="37" xfId="0" applyFont="1" applyBorder="1" applyAlignment="1">
      <alignment vertical="center" wrapText="1" readingOrder="1"/>
    </xf>
    <xf numFmtId="0" fontId="32" fillId="0" borderId="37" xfId="0" applyFont="1" applyBorder="1" applyAlignment="1">
      <alignment vertical="top"/>
    </xf>
    <xf numFmtId="0" fontId="38" fillId="0" borderId="0" xfId="45" applyFont="1" applyAlignment="1">
      <alignment wrapText="1"/>
    </xf>
    <xf numFmtId="0" fontId="45" fillId="0" borderId="37" xfId="0" applyFont="1" applyBorder="1" applyAlignment="1">
      <alignment horizontal="center" vertical="center" wrapText="1" readingOrder="2"/>
    </xf>
    <xf numFmtId="0" fontId="45" fillId="0" borderId="37" xfId="0" applyFont="1" applyBorder="1" applyAlignment="1">
      <alignment vertical="center" wrapText="1" readingOrder="2"/>
    </xf>
    <xf numFmtId="1" fontId="32" fillId="36" borderId="30" xfId="0" applyNumberFormat="1" applyFont="1" applyFill="1" applyBorder="1" applyAlignment="1">
      <alignment horizontal="center" vertical="center"/>
    </xf>
    <xf numFmtId="1" fontId="32" fillId="35" borderId="30" xfId="0" applyNumberFormat="1" applyFont="1" applyFill="1" applyBorder="1" applyAlignment="1">
      <alignment horizontal="center" vertical="center"/>
    </xf>
    <xf numFmtId="1" fontId="35" fillId="41" borderId="37" xfId="0" applyNumberFormat="1" applyFont="1" applyFill="1" applyBorder="1" applyAlignment="1">
      <alignment horizontal="center" vertical="center" wrapText="1" readingOrder="2"/>
    </xf>
    <xf numFmtId="0" fontId="23" fillId="43" borderId="35" xfId="0" applyFont="1" applyFill="1" applyBorder="1" applyAlignment="1">
      <alignment horizontal="right" vertical="center"/>
    </xf>
    <xf numFmtId="0" fontId="19" fillId="36" borderId="43" xfId="0" applyFont="1" applyFill="1" applyBorder="1" applyAlignment="1">
      <alignment horizontal="center" vertical="center"/>
    </xf>
    <xf numFmtId="0" fontId="23" fillId="44" borderId="35" xfId="0" applyFont="1" applyFill="1" applyBorder="1" applyAlignment="1">
      <alignment horizontal="right" vertical="center"/>
    </xf>
    <xf numFmtId="3" fontId="20" fillId="36" borderId="42" xfId="0" applyNumberFormat="1" applyFont="1" applyFill="1" applyBorder="1" applyAlignment="1">
      <alignment horizontal="center" vertical="center"/>
    </xf>
    <xf numFmtId="1" fontId="0" fillId="35" borderId="0" xfId="0" applyNumberFormat="1" applyFill="1"/>
    <xf numFmtId="0" fontId="0" fillId="35" borderId="0" xfId="0" applyFill="1"/>
    <xf numFmtId="0" fontId="20" fillId="36" borderId="42" xfId="0" applyFont="1" applyFill="1" applyBorder="1" applyAlignment="1">
      <alignment horizontal="center" vertical="center"/>
    </xf>
    <xf numFmtId="0" fontId="33" fillId="38" borderId="26" xfId="0" applyFont="1" applyFill="1" applyBorder="1" applyAlignment="1">
      <alignment vertical="center"/>
    </xf>
    <xf numFmtId="0" fontId="33" fillId="38" borderId="33" xfId="0" applyFont="1" applyFill="1" applyBorder="1" applyAlignment="1">
      <alignment vertical="center"/>
    </xf>
    <xf numFmtId="0" fontId="33" fillId="38" borderId="34" xfId="0" applyFont="1" applyFill="1" applyBorder="1" applyAlignment="1">
      <alignment vertical="center"/>
    </xf>
    <xf numFmtId="0" fontId="30" fillId="38" borderId="30" xfId="0" applyFont="1" applyFill="1" applyBorder="1" applyAlignment="1">
      <alignment vertical="center"/>
    </xf>
    <xf numFmtId="0" fontId="18" fillId="0" borderId="14" xfId="0" applyFont="1" applyBorder="1" applyAlignment="1">
      <alignment horizontal="right" vertical="center"/>
    </xf>
    <xf numFmtId="0" fontId="19" fillId="0" borderId="14" xfId="0" applyFont="1" applyBorder="1" applyAlignment="1">
      <alignment horizontal="right" vertical="center" wrapText="1"/>
    </xf>
    <xf numFmtId="0" fontId="19" fillId="0" borderId="14" xfId="0" applyFont="1" applyBorder="1" applyAlignment="1">
      <alignment horizontal="right" vertical="center"/>
    </xf>
    <xf numFmtId="0" fontId="19" fillId="36" borderId="14" xfId="0" applyFont="1" applyFill="1" applyBorder="1" applyAlignment="1">
      <alignment horizontal="right" vertical="center"/>
    </xf>
    <xf numFmtId="0" fontId="18" fillId="36" borderId="14" xfId="0" applyFont="1" applyFill="1" applyBorder="1" applyAlignment="1">
      <alignment horizontal="right" vertical="center"/>
    </xf>
    <xf numFmtId="0" fontId="19" fillId="43" borderId="14" xfId="0" applyFont="1" applyFill="1" applyBorder="1" applyAlignment="1">
      <alignment horizontal="right" vertical="center"/>
    </xf>
    <xf numFmtId="0" fontId="18" fillId="43" borderId="14" xfId="0" applyFont="1" applyFill="1" applyBorder="1" applyAlignment="1">
      <alignment horizontal="right" vertical="center"/>
    </xf>
    <xf numFmtId="0" fontId="18" fillId="33" borderId="10" xfId="0" applyFont="1" applyFill="1" applyBorder="1" applyAlignment="1">
      <alignment horizontal="center"/>
    </xf>
    <xf numFmtId="0" fontId="18" fillId="33" borderId="11" xfId="0" applyFont="1" applyFill="1" applyBorder="1" applyAlignment="1">
      <alignment horizontal="center"/>
    </xf>
    <xf numFmtId="0" fontId="18" fillId="33" borderId="24" xfId="0" applyFont="1" applyFill="1" applyBorder="1" applyAlignment="1">
      <alignment horizontal="center"/>
    </xf>
    <xf numFmtId="0" fontId="18" fillId="33" borderId="12" xfId="0" applyFont="1" applyFill="1" applyBorder="1" applyAlignment="1">
      <alignment horizontal="center"/>
    </xf>
    <xf numFmtId="0" fontId="18" fillId="33" borderId="10" xfId="0" applyFont="1" applyFill="1" applyBorder="1" applyAlignment="1">
      <alignment horizontal="center" vertical="center"/>
    </xf>
    <xf numFmtId="0" fontId="18" fillId="33" borderId="11" xfId="0" applyFont="1" applyFill="1" applyBorder="1" applyAlignment="1">
      <alignment horizontal="center" vertical="center"/>
    </xf>
    <xf numFmtId="0" fontId="18" fillId="33" borderId="24" xfId="0" applyFont="1" applyFill="1" applyBorder="1" applyAlignment="1">
      <alignment horizontal="center" vertical="center"/>
    </xf>
    <xf numFmtId="0" fontId="18" fillId="33" borderId="12" xfId="0" applyFont="1" applyFill="1" applyBorder="1" applyAlignment="1">
      <alignment horizontal="center" vertical="center"/>
    </xf>
  </cellXfs>
  <cellStyles count="46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00000000-0005-0000-0000-000025000000}"/>
    <cellStyle name="Normal 3" xfId="43" xr:uid="{03395F44-6D7A-46A3-A288-45F63819354E}"/>
    <cellStyle name="Normal 4" xfId="44" xr:uid="{A5952F9E-3AB8-44A4-96D1-B298477490B0}"/>
    <cellStyle name="Normal 5" xfId="45" xr:uid="{4A29B2F4-CA89-4F6E-9677-4FE5962F4C4D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B25A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30</xdr:col>
      <xdr:colOff>581025</xdr:colOff>
      <xdr:row>4</xdr:row>
      <xdr:rowOff>9525</xdr:rowOff>
    </xdr:from>
    <xdr:to>
      <xdr:col>32</xdr:col>
      <xdr:colOff>304800</xdr:colOff>
      <xdr:row>6</xdr:row>
      <xdr:rowOff>228600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38D6A2-1B44-4334-ADEC-F42B691C81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849100" y="685800"/>
          <a:ext cx="942975" cy="790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F2D03843-524B-4E60-9BEF-874FB25271A9}">
  <we:reference id="wa200005669" version="2.0.0.0" store="en-US" storeType="OMEX"/>
  <we:alternateReferences>
    <we:reference id="wa200005669" version="2.0.0.0" store="wa200005669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DC124"/>
  <sheetViews>
    <sheetView rightToLeft="1" zoomScale="120" zoomScaleNormal="120" workbookViewId="0">
      <pane xSplit="4" ySplit="1" topLeftCell="CS2" activePane="bottomRight" state="frozen"/>
      <selection pane="topRight" activeCell="D1" sqref="D1"/>
      <selection pane="bottomLeft" activeCell="A2" sqref="A2"/>
      <selection pane="bottomRight" activeCell="CX5" sqref="CX5"/>
    </sheetView>
  </sheetViews>
  <sheetFormatPr defaultColWidth="9.140625" defaultRowHeight="15" x14ac:dyDescent="0.25"/>
  <cols>
    <col min="1" max="1" width="9.140625" style="83"/>
    <col min="2" max="2" width="9.42578125" style="83" customWidth="1"/>
    <col min="3" max="3" width="22.42578125" style="83" customWidth="1"/>
    <col min="4" max="4" width="7.7109375" style="83" customWidth="1"/>
    <col min="5" max="5" width="9.140625" style="83"/>
    <col min="6" max="101" width="9.140625" style="83" customWidth="1"/>
    <col min="102" max="103" width="9.140625" style="1" customWidth="1"/>
    <col min="104" max="104" width="15.140625" style="1" customWidth="1"/>
    <col min="105" max="105" width="16.28515625" style="1" customWidth="1"/>
    <col min="106" max="16384" width="9.140625" style="1"/>
  </cols>
  <sheetData>
    <row r="1" spans="1:107" s="81" customFormat="1" ht="165.75" customHeight="1" x14ac:dyDescent="0.25">
      <c r="A1" s="82" t="s">
        <v>425</v>
      </c>
      <c r="B1" s="82" t="s">
        <v>0</v>
      </c>
      <c r="C1" s="82" t="s">
        <v>1</v>
      </c>
      <c r="D1" s="82" t="s">
        <v>575</v>
      </c>
      <c r="E1" s="82" t="s">
        <v>476</v>
      </c>
      <c r="F1" s="82" t="s">
        <v>576</v>
      </c>
      <c r="G1" s="82" t="s">
        <v>477</v>
      </c>
      <c r="H1" s="82" t="s">
        <v>577</v>
      </c>
      <c r="I1" s="82" t="s">
        <v>503</v>
      </c>
      <c r="J1" s="82" t="s">
        <v>547</v>
      </c>
      <c r="K1" s="82" t="s">
        <v>485</v>
      </c>
      <c r="L1" s="82" t="s">
        <v>548</v>
      </c>
      <c r="M1" s="82" t="s">
        <v>549</v>
      </c>
      <c r="N1" s="82" t="s">
        <v>358</v>
      </c>
      <c r="O1" s="82" t="s">
        <v>578</v>
      </c>
      <c r="P1" s="82" t="s">
        <v>579</v>
      </c>
      <c r="Q1" s="82" t="s">
        <v>320</v>
      </c>
      <c r="R1" s="82" t="s">
        <v>336</v>
      </c>
      <c r="S1" s="82" t="s">
        <v>321</v>
      </c>
      <c r="T1" s="82" t="s">
        <v>343</v>
      </c>
      <c r="U1" s="82" t="s">
        <v>504</v>
      </c>
      <c r="V1" s="82" t="s">
        <v>505</v>
      </c>
      <c r="W1" s="82" t="s">
        <v>506</v>
      </c>
      <c r="X1" s="82" t="s">
        <v>507</v>
      </c>
      <c r="Y1" s="82" t="s">
        <v>508</v>
      </c>
      <c r="Z1" s="82" t="s">
        <v>509</v>
      </c>
      <c r="AA1" s="82" t="s">
        <v>510</v>
      </c>
      <c r="AB1" s="82" t="s">
        <v>511</v>
      </c>
      <c r="AC1" s="82" t="s">
        <v>512</v>
      </c>
      <c r="AD1" s="82" t="s">
        <v>513</v>
      </c>
      <c r="AE1" s="82" t="s">
        <v>514</v>
      </c>
      <c r="AF1" s="82" t="s">
        <v>515</v>
      </c>
      <c r="AG1" s="82" t="s">
        <v>516</v>
      </c>
      <c r="AH1" s="82" t="s">
        <v>415</v>
      </c>
      <c r="AI1" s="82" t="s">
        <v>384</v>
      </c>
      <c r="AJ1" s="82" t="s">
        <v>580</v>
      </c>
      <c r="AK1" s="82" t="s">
        <v>322</v>
      </c>
      <c r="AL1" s="82" t="s">
        <v>517</v>
      </c>
      <c r="AM1" s="82" t="s">
        <v>518</v>
      </c>
      <c r="AN1" s="82" t="s">
        <v>359</v>
      </c>
      <c r="AO1" s="82" t="s">
        <v>385</v>
      </c>
      <c r="AP1" s="82" t="s">
        <v>386</v>
      </c>
      <c r="AQ1" s="82" t="s">
        <v>387</v>
      </c>
      <c r="AR1" s="82" t="s">
        <v>388</v>
      </c>
      <c r="AS1" s="82" t="s">
        <v>389</v>
      </c>
      <c r="AT1" s="82" t="s">
        <v>390</v>
      </c>
      <c r="AU1" s="82" t="s">
        <v>392</v>
      </c>
      <c r="AV1" s="82" t="s">
        <v>393</v>
      </c>
      <c r="AW1" s="82" t="s">
        <v>581</v>
      </c>
      <c r="AX1" s="82" t="s">
        <v>416</v>
      </c>
      <c r="AY1" s="82" t="s">
        <v>417</v>
      </c>
      <c r="AZ1" s="82" t="s">
        <v>582</v>
      </c>
      <c r="BA1" s="82" t="s">
        <v>362</v>
      </c>
      <c r="BB1" s="82" t="s">
        <v>394</v>
      </c>
      <c r="BC1" s="82" t="s">
        <v>486</v>
      </c>
      <c r="BD1" s="82" t="s">
        <v>550</v>
      </c>
      <c r="BE1" s="82" t="s">
        <v>551</v>
      </c>
      <c r="BF1" s="82" t="s">
        <v>552</v>
      </c>
      <c r="BG1" s="82" t="s">
        <v>381</v>
      </c>
      <c r="BH1" s="82" t="s">
        <v>382</v>
      </c>
      <c r="BI1" s="82" t="s">
        <v>553</v>
      </c>
      <c r="BJ1" s="82" t="s">
        <v>554</v>
      </c>
      <c r="BK1" s="82" t="s">
        <v>555</v>
      </c>
      <c r="BL1" s="82" t="s">
        <v>383</v>
      </c>
      <c r="BM1" s="82" t="s">
        <v>363</v>
      </c>
      <c r="BN1" s="82" t="s">
        <v>395</v>
      </c>
      <c r="BO1" s="82" t="s">
        <v>396</v>
      </c>
      <c r="BP1" s="82" t="s">
        <v>397</v>
      </c>
      <c r="BQ1" s="82" t="s">
        <v>398</v>
      </c>
      <c r="BR1" s="82" t="s">
        <v>399</v>
      </c>
      <c r="BS1" s="82" t="s">
        <v>400</v>
      </c>
      <c r="BT1" s="82" t="s">
        <v>401</v>
      </c>
      <c r="BU1" s="82" t="s">
        <v>402</v>
      </c>
      <c r="BV1" s="82" t="s">
        <v>426</v>
      </c>
      <c r="BW1" s="82" t="s">
        <v>487</v>
      </c>
      <c r="BX1" s="82" t="s">
        <v>478</v>
      </c>
      <c r="BY1" s="82" t="s">
        <v>556</v>
      </c>
      <c r="BZ1" s="82" t="s">
        <v>427</v>
      </c>
      <c r="CA1" s="82" t="s">
        <v>488</v>
      </c>
      <c r="CB1" s="82" t="s">
        <v>471</v>
      </c>
      <c r="CC1" s="82" t="s">
        <v>557</v>
      </c>
      <c r="CD1" s="82" t="s">
        <v>479</v>
      </c>
      <c r="CE1" s="82" t="s">
        <v>583</v>
      </c>
      <c r="CF1" s="82" t="s">
        <v>584</v>
      </c>
      <c r="CG1" s="82" t="s">
        <v>519</v>
      </c>
      <c r="CH1" s="82" t="s">
        <v>558</v>
      </c>
      <c r="CI1" s="82" t="s">
        <v>428</v>
      </c>
      <c r="CJ1" s="82" t="s">
        <v>585</v>
      </c>
      <c r="CK1" s="82" t="s">
        <v>429</v>
      </c>
      <c r="CL1" s="82" t="s">
        <v>520</v>
      </c>
      <c r="CM1" s="82" t="s">
        <v>521</v>
      </c>
      <c r="CN1" s="82" t="s">
        <v>586</v>
      </c>
      <c r="CO1" s="82" t="s">
        <v>522</v>
      </c>
      <c r="CP1" s="82" t="s">
        <v>523</v>
      </c>
      <c r="CQ1" s="82" t="s">
        <v>524</v>
      </c>
      <c r="CR1" s="82" t="s">
        <v>525</v>
      </c>
      <c r="CS1" s="82" t="s">
        <v>559</v>
      </c>
      <c r="CT1" s="82" t="s">
        <v>560</v>
      </c>
      <c r="CU1" s="82" t="s">
        <v>198</v>
      </c>
      <c r="CV1" s="82" t="s">
        <v>199</v>
      </c>
      <c r="CW1" s="82" t="s">
        <v>289</v>
      </c>
      <c r="CX1" s="81" t="s">
        <v>209</v>
      </c>
      <c r="CY1" s="81" t="s">
        <v>241</v>
      </c>
      <c r="CZ1" s="81" t="s">
        <v>210</v>
      </c>
      <c r="DA1" s="81" t="s">
        <v>211</v>
      </c>
      <c r="DC1" s="81" t="s">
        <v>324</v>
      </c>
    </row>
    <row r="2" spans="1:107" x14ac:dyDescent="0.25">
      <c r="CX2" s="74">
        <f>SUM(CX4:CX84)</f>
        <v>10591.708966925524</v>
      </c>
      <c r="CY2" s="74">
        <f>SUM(CY4:CY61)</f>
        <v>94.349633865960271</v>
      </c>
      <c r="DB2" s="1">
        <f>SUM(DB4:DB84)</f>
        <v>7827.9955983269047</v>
      </c>
    </row>
    <row r="3" spans="1:107" s="65" customFormat="1" x14ac:dyDescent="0.25">
      <c r="A3" s="83"/>
      <c r="B3" s="83"/>
      <c r="C3" s="163" t="s">
        <v>288</v>
      </c>
      <c r="D3" s="83">
        <v>43</v>
      </c>
      <c r="E3" s="83">
        <v>473.7</v>
      </c>
      <c r="F3" s="83">
        <v>175</v>
      </c>
      <c r="G3" s="83">
        <v>54.16</v>
      </c>
      <c r="H3" s="83">
        <v>124.35</v>
      </c>
      <c r="I3" s="83">
        <v>40</v>
      </c>
      <c r="J3" s="83">
        <v>100</v>
      </c>
      <c r="K3" s="83">
        <v>25</v>
      </c>
      <c r="L3" s="83">
        <v>27.2</v>
      </c>
      <c r="M3" s="83">
        <v>13.6</v>
      </c>
      <c r="N3" s="83">
        <v>385</v>
      </c>
      <c r="O3" s="83">
        <v>300</v>
      </c>
      <c r="P3" s="83">
        <v>130</v>
      </c>
      <c r="Q3" s="83">
        <v>60</v>
      </c>
      <c r="R3" s="83">
        <v>60</v>
      </c>
      <c r="S3" s="83">
        <v>60</v>
      </c>
      <c r="T3" s="83">
        <v>60</v>
      </c>
      <c r="U3" s="83">
        <v>964.92</v>
      </c>
      <c r="V3" s="83">
        <v>154.80000000000001</v>
      </c>
      <c r="W3" s="83">
        <v>408.2</v>
      </c>
      <c r="X3" s="83">
        <v>385.2</v>
      </c>
      <c r="Y3" s="83">
        <v>737.3</v>
      </c>
      <c r="Z3" s="83">
        <v>434</v>
      </c>
      <c r="AA3" s="83">
        <v>119</v>
      </c>
      <c r="AB3" s="83">
        <v>74.400000000000006</v>
      </c>
      <c r="AC3" s="83">
        <v>303.10000000000002</v>
      </c>
      <c r="AD3" s="83">
        <v>456.9</v>
      </c>
      <c r="AE3" s="83">
        <v>230</v>
      </c>
      <c r="AF3" s="83">
        <v>1519</v>
      </c>
      <c r="AG3" s="83">
        <v>1846.2</v>
      </c>
      <c r="AH3" s="83">
        <v>17</v>
      </c>
      <c r="AI3" s="83">
        <v>65</v>
      </c>
      <c r="AJ3" s="83">
        <v>85</v>
      </c>
      <c r="AK3" s="83">
        <v>60</v>
      </c>
      <c r="AL3" s="83">
        <v>60</v>
      </c>
      <c r="AM3" s="83">
        <v>60</v>
      </c>
      <c r="AN3" s="83">
        <v>240</v>
      </c>
      <c r="AO3" s="83">
        <v>11</v>
      </c>
      <c r="AP3" s="83">
        <v>42</v>
      </c>
      <c r="AQ3" s="83">
        <v>33</v>
      </c>
      <c r="AR3" s="83">
        <v>93</v>
      </c>
      <c r="AS3" s="83">
        <v>65</v>
      </c>
      <c r="AT3" s="83">
        <v>92</v>
      </c>
      <c r="AU3" s="83">
        <v>97</v>
      </c>
      <c r="AV3" s="83">
        <v>13</v>
      </c>
      <c r="AW3" s="83">
        <v>179.3</v>
      </c>
      <c r="AX3" s="83">
        <v>13.5</v>
      </c>
      <c r="AY3" s="83">
        <v>47.23</v>
      </c>
      <c r="AZ3" s="83">
        <v>57</v>
      </c>
      <c r="BA3" s="83">
        <v>60</v>
      </c>
      <c r="BB3" s="83">
        <v>242</v>
      </c>
      <c r="BC3" s="83">
        <v>8.5</v>
      </c>
      <c r="BD3" s="83">
        <v>1008.4</v>
      </c>
      <c r="BE3" s="83">
        <v>60</v>
      </c>
      <c r="BF3" s="83">
        <v>60</v>
      </c>
      <c r="BG3" s="83">
        <v>60</v>
      </c>
      <c r="BH3" s="83">
        <v>60</v>
      </c>
      <c r="BI3" s="83">
        <v>5</v>
      </c>
      <c r="BJ3" s="83">
        <v>104</v>
      </c>
      <c r="BK3" s="83">
        <v>64</v>
      </c>
      <c r="BL3" s="83">
        <v>61</v>
      </c>
      <c r="BM3" s="83">
        <v>30.3</v>
      </c>
      <c r="BN3" s="83">
        <v>200</v>
      </c>
      <c r="BO3" s="83">
        <v>7.8</v>
      </c>
      <c r="BP3" s="83">
        <v>28.5</v>
      </c>
      <c r="BQ3" s="83">
        <v>291</v>
      </c>
      <c r="BR3" s="83">
        <v>1400</v>
      </c>
      <c r="BS3" s="83">
        <v>60</v>
      </c>
      <c r="BT3" s="83">
        <v>61.5</v>
      </c>
      <c r="BU3" s="83">
        <v>43.5</v>
      </c>
      <c r="BV3" s="83">
        <v>1090</v>
      </c>
      <c r="BW3" s="83">
        <v>438</v>
      </c>
      <c r="BX3" s="83">
        <v>380</v>
      </c>
      <c r="BY3" s="83">
        <v>272</v>
      </c>
      <c r="BZ3" s="83">
        <v>238</v>
      </c>
      <c r="CA3" s="83">
        <v>124</v>
      </c>
      <c r="CB3" s="83">
        <v>100</v>
      </c>
      <c r="CC3" s="83">
        <v>80</v>
      </c>
      <c r="CD3" s="83">
        <v>89</v>
      </c>
      <c r="CE3" s="83">
        <v>65</v>
      </c>
      <c r="CF3" s="83">
        <v>225</v>
      </c>
      <c r="CG3" s="83">
        <v>208</v>
      </c>
      <c r="CH3" s="83">
        <v>143</v>
      </c>
      <c r="CI3" s="83">
        <v>300</v>
      </c>
      <c r="CJ3" s="83">
        <v>60</v>
      </c>
      <c r="CK3" s="83">
        <v>454</v>
      </c>
      <c r="CL3" s="83">
        <v>0.77</v>
      </c>
      <c r="CM3" s="83">
        <v>0.97</v>
      </c>
      <c r="CN3" s="83">
        <v>12</v>
      </c>
      <c r="CO3" s="83">
        <v>18.5</v>
      </c>
      <c r="CP3" s="83">
        <v>1.45</v>
      </c>
      <c r="CQ3" s="83">
        <v>57</v>
      </c>
      <c r="CR3" s="83">
        <v>35</v>
      </c>
      <c r="CS3" s="83">
        <v>112</v>
      </c>
      <c r="CT3" s="83">
        <v>109</v>
      </c>
      <c r="CU3" s="83"/>
      <c r="CV3" s="83"/>
      <c r="CW3" s="83"/>
    </row>
    <row r="4" spans="1:107" x14ac:dyDescent="0.25">
      <c r="B4" s="83">
        <v>14226</v>
      </c>
      <c r="C4" s="106" t="s">
        <v>290</v>
      </c>
      <c r="M4" s="83">
        <v>253</v>
      </c>
      <c r="U4" s="83">
        <v>2800</v>
      </c>
      <c r="AA4" s="83">
        <v>360</v>
      </c>
      <c r="AB4" s="83">
        <v>8600</v>
      </c>
      <c r="AD4" s="83">
        <v>6740</v>
      </c>
      <c r="AE4" s="83">
        <v>1680</v>
      </c>
      <c r="CU4" s="83">
        <v>17</v>
      </c>
      <c r="CV4" s="83">
        <v>0</v>
      </c>
      <c r="CW4" s="83">
        <v>9640</v>
      </c>
      <c r="CX4" s="74" cm="1">
        <f t="array" ref="CX4">SUMPRODUCT(D4:CT4/$D$3:$CT$3)</f>
        <v>162.1772786839891</v>
      </c>
      <c r="CY4" s="74">
        <f>CX4/CW4*100</f>
        <v>1.6823369158090156</v>
      </c>
      <c r="CZ4" s="1">
        <v>0</v>
      </c>
      <c r="DA4" s="1">
        <f>CZ4*DA2/60</f>
        <v>0</v>
      </c>
      <c r="DB4" s="74">
        <f t="shared" ref="DB4:DB17" si="0">CX4-DA4</f>
        <v>162.1772786839891</v>
      </c>
      <c r="DC4" s="1" t="e">
        <f>MATCH(C4,'کارکرد اداری'!$C$3:$C$64,0)</f>
        <v>#N/A</v>
      </c>
    </row>
    <row r="5" spans="1:107" x14ac:dyDescent="0.25">
      <c r="B5" s="83">
        <v>14283</v>
      </c>
      <c r="C5" s="106" t="s">
        <v>201</v>
      </c>
      <c r="S5" s="83">
        <v>7270</v>
      </c>
      <c r="BT5" s="83">
        <v>795</v>
      </c>
      <c r="CU5" s="83">
        <v>17</v>
      </c>
      <c r="CV5" s="83">
        <v>0</v>
      </c>
      <c r="CW5" s="83">
        <v>8035</v>
      </c>
      <c r="CX5" s="74" cm="1">
        <f t="array" ref="CX5">SUMPRODUCT(D5:CT5/$D$3:$CT$3)</f>
        <v>134.09349593495935</v>
      </c>
      <c r="CY5" s="74">
        <f t="shared" ref="CY5:CY68" si="1">CX5/CW5*100</f>
        <v>1.6688674042932092</v>
      </c>
      <c r="DB5" s="74">
        <f t="shared" si="0"/>
        <v>134.09349593495935</v>
      </c>
      <c r="DC5" s="1" t="e">
        <f>MATCH(C5,'کارکرد اداری'!$C$3:$C$64,0)</f>
        <v>#N/A</v>
      </c>
    </row>
    <row r="6" spans="1:107" x14ac:dyDescent="0.25">
      <c r="B6" s="83">
        <v>14329</v>
      </c>
      <c r="C6" s="106" t="s">
        <v>337</v>
      </c>
      <c r="S6" s="83">
        <v>1400</v>
      </c>
      <c r="AP6" s="83">
        <v>21</v>
      </c>
      <c r="AR6" s="83">
        <v>301</v>
      </c>
      <c r="AS6" s="83">
        <v>195</v>
      </c>
      <c r="BO6" s="83">
        <v>172</v>
      </c>
      <c r="BT6" s="83">
        <v>4780</v>
      </c>
      <c r="BU6" s="83">
        <v>257</v>
      </c>
      <c r="CU6" s="83">
        <v>17</v>
      </c>
      <c r="CV6" s="83">
        <v>0</v>
      </c>
      <c r="CW6" s="83">
        <v>8200</v>
      </c>
      <c r="CX6" s="74" cm="1">
        <f t="array" ref="CX6">SUMPRODUCT(D6:CT6/$D$3:$CT$3)</f>
        <v>135.75279773718418</v>
      </c>
      <c r="CY6" s="74">
        <f t="shared" si="1"/>
        <v>1.6555219236241974</v>
      </c>
      <c r="DB6" s="74">
        <f t="shared" si="0"/>
        <v>135.75279773718418</v>
      </c>
      <c r="DC6" s="1" t="e">
        <f>MATCH(C6,'کارکرد اداری'!$C$3:$C$64,0)</f>
        <v>#N/A</v>
      </c>
    </row>
    <row r="7" spans="1:107" x14ac:dyDescent="0.25">
      <c r="B7" s="83">
        <v>14328</v>
      </c>
      <c r="C7" s="106" t="s">
        <v>291</v>
      </c>
      <c r="S7" s="83">
        <v>3610</v>
      </c>
      <c r="AO7" s="83">
        <v>33</v>
      </c>
      <c r="AX7" s="83">
        <v>13</v>
      </c>
      <c r="BC7" s="83">
        <v>25</v>
      </c>
      <c r="BO7" s="83">
        <v>101</v>
      </c>
      <c r="BU7" s="83">
        <v>791</v>
      </c>
      <c r="CO7" s="83">
        <v>567</v>
      </c>
      <c r="CU7" s="83">
        <v>16</v>
      </c>
      <c r="CV7" s="83">
        <v>0</v>
      </c>
      <c r="CW7" s="83">
        <v>7650</v>
      </c>
      <c r="CX7" s="74" cm="1">
        <f t="array" ref="CX7">SUMPRODUCT(D7:CT7/$D$3:$CT$3)</f>
        <v>128.85208074356146</v>
      </c>
      <c r="CY7" s="74">
        <f t="shared" si="1"/>
        <v>1.6843409247524372</v>
      </c>
      <c r="DB7" s="74">
        <f t="shared" si="0"/>
        <v>128.85208074356146</v>
      </c>
      <c r="DC7" s="1" t="e">
        <f>MATCH(C7,'کارکرد اداری'!$C$3:$C$64,0)</f>
        <v>#N/A</v>
      </c>
    </row>
    <row r="8" spans="1:107" x14ac:dyDescent="0.25">
      <c r="B8" s="83">
        <v>14327</v>
      </c>
      <c r="C8" s="106" t="s">
        <v>202</v>
      </c>
      <c r="S8" s="83">
        <v>1210</v>
      </c>
      <c r="T8" s="83">
        <v>440</v>
      </c>
      <c r="AO8" s="83">
        <v>197</v>
      </c>
      <c r="AY8" s="83">
        <v>100</v>
      </c>
      <c r="BC8" s="83">
        <v>56</v>
      </c>
      <c r="BO8" s="83">
        <v>134</v>
      </c>
      <c r="BU8" s="83">
        <v>319</v>
      </c>
      <c r="CO8" s="83">
        <v>969</v>
      </c>
      <c r="CU8" s="83">
        <v>17</v>
      </c>
      <c r="CV8" s="83">
        <v>0</v>
      </c>
      <c r="CW8" s="83">
        <v>8020</v>
      </c>
      <c r="CX8" s="74" cm="1">
        <f t="array" ref="CX8">SUMPRODUCT(D8:CT8/$D$3:$CT$3)</f>
        <v>131.00582342174175</v>
      </c>
      <c r="CY8" s="74">
        <f t="shared" si="1"/>
        <v>1.6334890700965303</v>
      </c>
      <c r="DB8" s="74">
        <f t="shared" si="0"/>
        <v>131.00582342174175</v>
      </c>
      <c r="DC8" s="1" t="e">
        <f>MATCH(C8,'کارکرد اداری'!$C$3:$C$64,0)</f>
        <v>#N/A</v>
      </c>
    </row>
    <row r="9" spans="1:107" x14ac:dyDescent="0.25">
      <c r="B9" s="83">
        <v>14323</v>
      </c>
      <c r="C9" s="106" t="s">
        <v>304</v>
      </c>
      <c r="BA9" s="83">
        <v>30</v>
      </c>
      <c r="CL9" s="83">
        <v>105.65</v>
      </c>
      <c r="CM9" s="83">
        <v>3</v>
      </c>
      <c r="CU9" s="83">
        <v>16</v>
      </c>
      <c r="CV9" s="83">
        <v>0</v>
      </c>
      <c r="CW9" s="83">
        <v>8120</v>
      </c>
      <c r="CX9" s="74" cm="1">
        <f t="array" ref="CX9">SUMPRODUCT(D9:CT9/$D$3:$CT$3)</f>
        <v>140.80057571294685</v>
      </c>
      <c r="CY9" s="74">
        <f t="shared" si="1"/>
        <v>1.7339972378441733</v>
      </c>
      <c r="DB9" s="74">
        <f t="shared" si="0"/>
        <v>140.80057571294685</v>
      </c>
      <c r="DC9" s="1" t="e">
        <f>MATCH(C9,'کارکرد اداری'!$C$3:$C$64,0)</f>
        <v>#N/A</v>
      </c>
    </row>
    <row r="10" spans="1:107" x14ac:dyDescent="0.25">
      <c r="B10" s="83">
        <v>14275</v>
      </c>
      <c r="C10" s="106" t="s">
        <v>203</v>
      </c>
      <c r="D10" s="83">
        <v>274</v>
      </c>
      <c r="BF10" s="83">
        <v>620</v>
      </c>
      <c r="BH10" s="83">
        <v>8220</v>
      </c>
      <c r="CG10" s="83">
        <v>2760</v>
      </c>
      <c r="CK10" s="83">
        <v>1888</v>
      </c>
      <c r="CU10" s="83">
        <v>18</v>
      </c>
      <c r="CV10" s="83">
        <v>0</v>
      </c>
      <c r="CW10" s="83">
        <v>10300</v>
      </c>
      <c r="CX10" s="74" cm="1">
        <f t="array" ref="CX10">SUMPRODUCT(D10:CT10/$D$3:$CT$3)</f>
        <v>171.13324743418997</v>
      </c>
      <c r="CY10" s="74">
        <f t="shared" si="1"/>
        <v>1.661487839166893</v>
      </c>
      <c r="DB10" s="74">
        <f t="shared" si="0"/>
        <v>171.13324743418997</v>
      </c>
      <c r="DC10" s="1" t="e">
        <f>MATCH(C10,'کارکرد اداری'!$C$3:$C$64,0)</f>
        <v>#N/A</v>
      </c>
    </row>
    <row r="11" spans="1:107" x14ac:dyDescent="0.25">
      <c r="B11" s="83">
        <v>14304</v>
      </c>
      <c r="C11" s="106" t="s">
        <v>292</v>
      </c>
      <c r="Q11" s="83">
        <v>440</v>
      </c>
      <c r="BF11" s="83">
        <v>1680</v>
      </c>
      <c r="BH11" s="83">
        <v>240</v>
      </c>
      <c r="BN11" s="83">
        <v>14500</v>
      </c>
      <c r="CG11" s="83">
        <v>5417</v>
      </c>
      <c r="CK11" s="83">
        <v>5993</v>
      </c>
      <c r="CU11" s="83">
        <v>16</v>
      </c>
      <c r="CV11" s="83">
        <v>0</v>
      </c>
      <c r="CW11" s="83">
        <v>8930</v>
      </c>
      <c r="CX11" s="74" cm="1">
        <f t="array" ref="CX11">SUMPRODUCT(D11:CT11/$D$3:$CT$3)</f>
        <v>151.07704309273694</v>
      </c>
      <c r="CY11" s="74">
        <f t="shared" si="1"/>
        <v>1.6917921958873119</v>
      </c>
      <c r="DB11" s="74">
        <f t="shared" si="0"/>
        <v>151.07704309273694</v>
      </c>
      <c r="DC11" s="1" t="e">
        <f>MATCH(C11,'کارکرد اداری'!$C$3:$C$64,0)</f>
        <v>#N/A</v>
      </c>
    </row>
    <row r="12" spans="1:107" x14ac:dyDescent="0.25">
      <c r="B12" s="83">
        <v>14331</v>
      </c>
      <c r="C12" s="106" t="s">
        <v>204</v>
      </c>
      <c r="D12" s="83">
        <v>4329</v>
      </c>
      <c r="M12" s="83">
        <v>424</v>
      </c>
      <c r="S12" s="83">
        <v>550</v>
      </c>
      <c r="AK12" s="83">
        <v>30</v>
      </c>
      <c r="BO12" s="83">
        <v>157</v>
      </c>
      <c r="CG12" s="83">
        <v>1940</v>
      </c>
      <c r="CU12" s="83">
        <v>17</v>
      </c>
      <c r="CV12" s="83">
        <v>0</v>
      </c>
      <c r="CW12" s="83">
        <v>10000</v>
      </c>
      <c r="CX12" s="74" cm="1">
        <f t="array" ref="CX12">SUMPRODUCT(D12:CT12/$D$3:$CT$3)</f>
        <v>170.97268406468132</v>
      </c>
      <c r="CY12" s="74">
        <f t="shared" si="1"/>
        <v>1.7097268406468131</v>
      </c>
      <c r="DB12" s="74">
        <f t="shared" si="0"/>
        <v>170.97268406468132</v>
      </c>
      <c r="DC12" s="1" t="e">
        <f>MATCH(C12,'کارکرد اداری'!$C$3:$C$64,0)</f>
        <v>#N/A</v>
      </c>
    </row>
    <row r="13" spans="1:107" x14ac:dyDescent="0.25">
      <c r="B13" s="83">
        <v>14242</v>
      </c>
      <c r="C13" s="106" t="s">
        <v>430</v>
      </c>
      <c r="O13" s="83">
        <v>1200</v>
      </c>
      <c r="S13" s="83">
        <v>2820</v>
      </c>
      <c r="CU13" s="83">
        <v>7</v>
      </c>
      <c r="CV13" s="83">
        <v>0</v>
      </c>
      <c r="CW13" s="83">
        <v>3080</v>
      </c>
      <c r="CX13" s="74" cm="1">
        <f t="array" ref="CX13">SUMPRODUCT(D13:CT13/$D$3:$CT$3)</f>
        <v>51</v>
      </c>
      <c r="CY13" s="74">
        <f t="shared" si="1"/>
        <v>1.6558441558441557</v>
      </c>
      <c r="DB13" s="74">
        <f t="shared" si="0"/>
        <v>51</v>
      </c>
      <c r="DC13" s="1" t="e">
        <f>MATCH(C13,'کارکرد اداری'!$C$3:$C$64,0)</f>
        <v>#N/A</v>
      </c>
    </row>
    <row r="14" spans="1:107" x14ac:dyDescent="0.25">
      <c r="B14" s="83">
        <v>14231</v>
      </c>
      <c r="C14" s="106" t="s">
        <v>205</v>
      </c>
      <c r="F14" s="83">
        <v>566</v>
      </c>
      <c r="G14" s="83">
        <v>171</v>
      </c>
      <c r="AK14" s="83">
        <v>1750</v>
      </c>
      <c r="BV14" s="83">
        <v>1800</v>
      </c>
      <c r="BX14" s="83">
        <v>4806</v>
      </c>
      <c r="BY14" s="83">
        <v>1555</v>
      </c>
      <c r="BZ14" s="83">
        <v>1290</v>
      </c>
      <c r="CA14" s="83">
        <v>900</v>
      </c>
      <c r="CB14" s="83">
        <v>3518</v>
      </c>
      <c r="CC14" s="83">
        <v>1965</v>
      </c>
      <c r="CU14" s="83">
        <v>15</v>
      </c>
      <c r="CV14" s="83">
        <v>0</v>
      </c>
      <c r="CW14" s="83">
        <v>7500</v>
      </c>
      <c r="CX14" s="74" cm="1">
        <f t="array" ref="CX14">SUMPRODUCT(D14:CT14/$D$3:$CT$3)</f>
        <v>127.99465296598433</v>
      </c>
      <c r="CY14" s="74">
        <f t="shared" si="1"/>
        <v>1.7065953728797909</v>
      </c>
      <c r="DB14" s="74">
        <f t="shared" si="0"/>
        <v>127.99465296598433</v>
      </c>
      <c r="DC14" s="1" t="e">
        <f>MATCH(C14,'کارکرد اداری'!$C$3:$C$64,0)</f>
        <v>#N/A</v>
      </c>
    </row>
    <row r="15" spans="1:107" x14ac:dyDescent="0.25">
      <c r="B15" s="83">
        <v>14340</v>
      </c>
      <c r="C15" s="106" t="s">
        <v>293</v>
      </c>
      <c r="F15" s="83">
        <v>1461</v>
      </c>
      <c r="AJ15" s="83">
        <v>60</v>
      </c>
      <c r="AK15" s="83">
        <v>485</v>
      </c>
      <c r="AW15" s="83">
        <v>179</v>
      </c>
      <c r="BZ15" s="83">
        <v>1648</v>
      </c>
      <c r="CA15" s="83">
        <v>248</v>
      </c>
      <c r="CB15" s="83">
        <v>7519</v>
      </c>
      <c r="CC15" s="83">
        <v>3164</v>
      </c>
      <c r="CD15" s="83">
        <v>693</v>
      </c>
      <c r="CU15" s="83">
        <v>16</v>
      </c>
      <c r="CV15" s="83">
        <v>0</v>
      </c>
      <c r="CW15" s="83">
        <v>8840</v>
      </c>
      <c r="CX15" s="74" cm="1">
        <f t="array" ref="CX15">SUMPRODUCT(D15:CT15/$D$3:$CT$3)</f>
        <v>149.58700054322537</v>
      </c>
      <c r="CY15" s="74">
        <f t="shared" si="1"/>
        <v>1.6921606396292463</v>
      </c>
      <c r="DB15" s="74">
        <f t="shared" si="0"/>
        <v>149.58700054322537</v>
      </c>
      <c r="DC15" s="1" t="e">
        <f>MATCH(C15,'کارکرد اداری'!$C$3:$C$64,0)</f>
        <v>#N/A</v>
      </c>
    </row>
    <row r="16" spans="1:107" x14ac:dyDescent="0.25">
      <c r="A16" s="106">
        <v>14345</v>
      </c>
      <c r="B16" s="83">
        <v>14345</v>
      </c>
      <c r="C16" s="163" t="s">
        <v>305</v>
      </c>
      <c r="V16" s="83">
        <v>1280</v>
      </c>
      <c r="Z16" s="83">
        <v>1330</v>
      </c>
      <c r="AA16" s="83">
        <v>890</v>
      </c>
      <c r="AB16" s="83">
        <v>6299</v>
      </c>
      <c r="AC16" s="83">
        <v>12554</v>
      </c>
      <c r="AG16" s="83">
        <v>10080</v>
      </c>
      <c r="AL16" s="83">
        <v>470</v>
      </c>
      <c r="CU16" s="83">
        <v>17</v>
      </c>
      <c r="CV16" s="83">
        <v>0</v>
      </c>
      <c r="CW16" s="83">
        <v>9460</v>
      </c>
      <c r="CX16" s="74" cm="1">
        <f t="array" ref="CX16">SUMPRODUCT(D16:CT16/$D$3:$CT$3)</f>
        <v>158.18809061221734</v>
      </c>
      <c r="CY16" s="74">
        <f t="shared" si="1"/>
        <v>1.6721785476978577</v>
      </c>
      <c r="DB16" s="1">
        <f t="shared" si="0"/>
        <v>158.18809061221734</v>
      </c>
      <c r="DC16" s="1" t="e">
        <f>MATCH(C16,'کارکرد اداری'!$C$3:$C$64,0)</f>
        <v>#N/A</v>
      </c>
    </row>
    <row r="17" spans="1:107" x14ac:dyDescent="0.25">
      <c r="A17" s="106">
        <v>14394</v>
      </c>
      <c r="B17" s="83">
        <v>14162</v>
      </c>
      <c r="C17" s="83" t="s">
        <v>328</v>
      </c>
      <c r="BZ17" s="83">
        <v>1800</v>
      </c>
      <c r="CB17" s="83">
        <v>4158</v>
      </c>
      <c r="CC17" s="83">
        <v>2847</v>
      </c>
      <c r="CD17" s="83">
        <v>552</v>
      </c>
      <c r="CE17" s="83">
        <v>269</v>
      </c>
      <c r="CH17" s="83">
        <v>1258</v>
      </c>
      <c r="CK17" s="83">
        <v>1000</v>
      </c>
      <c r="CU17" s="83">
        <v>12</v>
      </c>
      <c r="CV17" s="83">
        <v>0</v>
      </c>
      <c r="CW17" s="83">
        <v>6360</v>
      </c>
      <c r="CX17" s="74" cm="1">
        <f t="array" ref="CX17">SUMPRODUCT(D17:CT17/$D$3:$CT$3)</f>
        <v>106.07107990856579</v>
      </c>
      <c r="CY17" s="74">
        <f t="shared" si="1"/>
        <v>1.667784275291915</v>
      </c>
      <c r="DB17" s="74">
        <f t="shared" si="0"/>
        <v>106.07107990856579</v>
      </c>
      <c r="DC17" s="1" t="e">
        <f>MATCH(C17,'کارکرد اداری'!$C$3:$C$64,0)</f>
        <v>#N/A</v>
      </c>
    </row>
    <row r="18" spans="1:107" x14ac:dyDescent="0.25">
      <c r="B18" s="83">
        <v>14394</v>
      </c>
      <c r="C18" s="106" t="s">
        <v>236</v>
      </c>
      <c r="S18" s="83">
        <v>980</v>
      </c>
      <c r="AO18" s="83">
        <v>51</v>
      </c>
      <c r="BC18" s="83">
        <v>132.5</v>
      </c>
      <c r="BO18" s="83">
        <v>490</v>
      </c>
      <c r="BU18" s="83">
        <v>893</v>
      </c>
      <c r="CO18" s="83">
        <v>211</v>
      </c>
      <c r="CU18" s="83">
        <v>17</v>
      </c>
      <c r="CV18" s="83">
        <v>0</v>
      </c>
      <c r="CW18" s="83">
        <v>8020</v>
      </c>
      <c r="CX18" s="74" cm="1">
        <f t="array" ref="CX18">SUMPRODUCT(D18:CT18/$D$3:$CT$3)</f>
        <v>131.31258612191675</v>
      </c>
      <c r="CY18" s="74">
        <f t="shared" si="1"/>
        <v>1.6373140414204082</v>
      </c>
      <c r="DB18" s="1">
        <f t="shared" ref="DB18:DB21" si="2">CX18-DA18</f>
        <v>131.31258612191675</v>
      </c>
      <c r="DC18" s="1" t="e">
        <f>MATCH(C18,'کارکرد اداری'!$C$3:$C$64,0)</f>
        <v>#N/A</v>
      </c>
    </row>
    <row r="19" spans="1:107" x14ac:dyDescent="0.25">
      <c r="B19" s="83">
        <v>14395</v>
      </c>
      <c r="C19" s="106" t="s">
        <v>237</v>
      </c>
      <c r="S19" s="83">
        <v>120</v>
      </c>
      <c r="T19" s="83">
        <v>2780</v>
      </c>
      <c r="AV19" s="83">
        <v>80</v>
      </c>
      <c r="AZ19" s="83">
        <v>300</v>
      </c>
      <c r="BM19" s="83">
        <v>560</v>
      </c>
      <c r="BP19" s="83">
        <v>33</v>
      </c>
      <c r="BS19" s="83">
        <v>710</v>
      </c>
      <c r="CQ19" s="83">
        <v>2751</v>
      </c>
      <c r="CU19" s="83">
        <v>17</v>
      </c>
      <c r="CV19" s="83">
        <v>0</v>
      </c>
      <c r="CW19" s="83">
        <v>8380</v>
      </c>
      <c r="CX19" s="74" cm="1">
        <f t="array" ref="CX19">SUMPRODUCT(D19:CT19/$D$3:$CT$3)</f>
        <v>139.48657153164709</v>
      </c>
      <c r="CY19" s="74">
        <f t="shared" si="1"/>
        <v>1.6645175600435214</v>
      </c>
      <c r="DB19" s="1">
        <f t="shared" si="2"/>
        <v>139.48657153164709</v>
      </c>
      <c r="DC19" s="1" t="e">
        <f>MATCH(C19,'کارکرد اداری'!$C$3:$C$64,0)</f>
        <v>#N/A</v>
      </c>
    </row>
    <row r="20" spans="1:107" x14ac:dyDescent="0.25">
      <c r="B20" s="83">
        <v>14417</v>
      </c>
      <c r="C20" s="106" t="s">
        <v>238</v>
      </c>
      <c r="S20" s="83">
        <v>350</v>
      </c>
      <c r="AO20" s="83">
        <v>42</v>
      </c>
      <c r="AQ20" s="83">
        <v>87</v>
      </c>
      <c r="AR20" s="83">
        <v>100</v>
      </c>
      <c r="AS20" s="83">
        <v>100</v>
      </c>
      <c r="BC20" s="83">
        <v>183.5</v>
      </c>
      <c r="BO20" s="83">
        <v>759</v>
      </c>
      <c r="CU20" s="83">
        <v>17</v>
      </c>
      <c r="CV20" s="83">
        <v>0</v>
      </c>
      <c r="CW20" s="83">
        <v>8200</v>
      </c>
      <c r="CX20" s="74" cm="1">
        <f t="array" ref="CX20">SUMPRODUCT(D20:CT20/$D$3:$CT$3)</f>
        <v>133.79753674535459</v>
      </c>
      <c r="CY20" s="74">
        <f t="shared" si="1"/>
        <v>1.6316772773823731</v>
      </c>
      <c r="DB20" s="1">
        <f t="shared" si="2"/>
        <v>133.79753674535459</v>
      </c>
      <c r="DC20" s="1" t="e">
        <f>MATCH(C20,'کارکرد اداری'!$C$3:$C$64,0)</f>
        <v>#N/A</v>
      </c>
    </row>
    <row r="21" spans="1:107" x14ac:dyDescent="0.25">
      <c r="B21" s="83">
        <v>14396</v>
      </c>
      <c r="C21" s="106" t="s">
        <v>239</v>
      </c>
      <c r="R21" s="83">
        <v>7660</v>
      </c>
      <c r="CU21" s="83">
        <v>14</v>
      </c>
      <c r="CV21" s="83">
        <v>0</v>
      </c>
      <c r="CW21" s="83">
        <v>7660</v>
      </c>
      <c r="CX21" s="74" cm="1">
        <f t="array" ref="CX21">SUMPRODUCT(D21:CT21/$D$3:$CT$3)</f>
        <v>127.66666666666667</v>
      </c>
      <c r="CY21" s="74">
        <f t="shared" si="1"/>
        <v>1.6666666666666667</v>
      </c>
      <c r="DB21" s="1">
        <f t="shared" si="2"/>
        <v>127.66666666666667</v>
      </c>
      <c r="DC21" s="1" t="e">
        <f>MATCH(C21,'کارکرد اداری'!$C$3:$C$64,0)</f>
        <v>#N/A</v>
      </c>
    </row>
    <row r="22" spans="1:107" x14ac:dyDescent="0.25">
      <c r="B22" s="83">
        <v>14409</v>
      </c>
      <c r="C22" s="106" t="s">
        <v>489</v>
      </c>
      <c r="S22" s="83">
        <v>150</v>
      </c>
      <c r="T22" s="83">
        <v>60</v>
      </c>
      <c r="AH22" s="83">
        <v>36</v>
      </c>
      <c r="AV22" s="83">
        <v>91</v>
      </c>
      <c r="BC22" s="83">
        <v>93.5</v>
      </c>
      <c r="BM22" s="83">
        <v>525</v>
      </c>
      <c r="BO22" s="83">
        <v>46</v>
      </c>
      <c r="CQ22" s="83">
        <v>4420</v>
      </c>
      <c r="CU22" s="83">
        <v>16</v>
      </c>
      <c r="CV22" s="83">
        <v>0</v>
      </c>
      <c r="CW22" s="83">
        <v>7580</v>
      </c>
      <c r="CX22" s="74" cm="1">
        <f t="array" ref="CX22">SUMPRODUCT(D22:CT22/$D$3:$CT$3)</f>
        <v>124.38567527864956</v>
      </c>
      <c r="CY22" s="74">
        <f t="shared" si="1"/>
        <v>1.640971969375324</v>
      </c>
      <c r="DB22" s="1">
        <f t="shared" ref="DB22:DB45" si="3">CX22-DA22</f>
        <v>124.38567527864956</v>
      </c>
      <c r="DC22" s="1" t="e">
        <f>MATCH(C22,'کارکرد اداری'!$C$3:$C$64,0)</f>
        <v>#N/A</v>
      </c>
    </row>
    <row r="23" spans="1:107" x14ac:dyDescent="0.25">
      <c r="B23" s="83">
        <v>14478</v>
      </c>
      <c r="C23" s="106" t="s">
        <v>347</v>
      </c>
      <c r="K23" s="83">
        <v>281</v>
      </c>
      <c r="S23" s="83">
        <v>630</v>
      </c>
      <c r="T23" s="83">
        <v>260</v>
      </c>
      <c r="AV23" s="83">
        <v>52</v>
      </c>
      <c r="BM23" s="83">
        <v>60</v>
      </c>
      <c r="BP23" s="83">
        <v>817</v>
      </c>
      <c r="BS23" s="83">
        <v>120</v>
      </c>
      <c r="BU23" s="83">
        <v>254</v>
      </c>
      <c r="CA23" s="83">
        <v>1154</v>
      </c>
      <c r="CB23" s="83">
        <v>3734</v>
      </c>
      <c r="CC23" s="83">
        <v>588</v>
      </c>
      <c r="CU23" s="83">
        <v>17</v>
      </c>
      <c r="CV23" s="83">
        <v>0</v>
      </c>
      <c r="CW23" s="83">
        <v>7850</v>
      </c>
      <c r="CX23" s="74" cm="1">
        <f t="array" ref="CX23">SUMPRODUCT(D23:CT23/$D$3:$CT$3)</f>
        <v>122.55573009247533</v>
      </c>
      <c r="CY23" s="74">
        <f t="shared" si="1"/>
        <v>1.5612194916238895</v>
      </c>
      <c r="DB23" s="1">
        <f t="shared" si="3"/>
        <v>122.55573009247533</v>
      </c>
      <c r="DC23" s="1" t="e">
        <f>MATCH(C23,'کارکرد اداری'!$C$3:$C$64,0)</f>
        <v>#N/A</v>
      </c>
    </row>
    <row r="24" spans="1:107" x14ac:dyDescent="0.25">
      <c r="B24" s="83">
        <v>14466</v>
      </c>
      <c r="C24" s="106" t="s">
        <v>357</v>
      </c>
      <c r="J24" s="83">
        <v>1180</v>
      </c>
      <c r="S24" s="83">
        <v>1400</v>
      </c>
      <c r="BT24" s="83">
        <v>2132</v>
      </c>
      <c r="CS24" s="83">
        <v>6050</v>
      </c>
      <c r="CT24" s="83">
        <v>680</v>
      </c>
      <c r="CU24" s="83">
        <v>17</v>
      </c>
      <c r="CV24" s="83">
        <v>0</v>
      </c>
      <c r="CW24" s="83">
        <v>7880</v>
      </c>
      <c r="CX24" s="74" cm="1">
        <f t="array" ref="CX24">SUMPRODUCT(D24:CT24/$D$3:$CT$3)</f>
        <v>130.05638925294889</v>
      </c>
      <c r="CY24" s="74">
        <f t="shared" si="1"/>
        <v>1.650461792550113</v>
      </c>
      <c r="DB24" s="1">
        <f t="shared" si="3"/>
        <v>130.05638925294889</v>
      </c>
      <c r="DC24" s="1" t="e">
        <f>MATCH(C24,'کارکرد اداری'!$C$3:$C$64,0)</f>
        <v>#N/A</v>
      </c>
    </row>
    <row r="25" spans="1:107" x14ac:dyDescent="0.25">
      <c r="B25" s="83">
        <v>14531</v>
      </c>
      <c r="C25" s="106" t="s">
        <v>370</v>
      </c>
      <c r="M25" s="83">
        <v>300</v>
      </c>
      <c r="BH25" s="83">
        <v>9180</v>
      </c>
      <c r="CU25" s="83">
        <v>18</v>
      </c>
      <c r="CV25" s="83">
        <v>0</v>
      </c>
      <c r="CW25" s="83">
        <v>10440</v>
      </c>
      <c r="CX25" s="74" cm="1">
        <f t="array" ref="CX25">SUMPRODUCT(D25:CT25/$D$3:$CT$3)</f>
        <v>175.05882352941177</v>
      </c>
      <c r="CY25" s="74">
        <f t="shared" si="1"/>
        <v>1.6768086544962812</v>
      </c>
      <c r="DB25" s="1">
        <f t="shared" si="3"/>
        <v>175.05882352941177</v>
      </c>
      <c r="DC25" s="1" t="e">
        <f>MATCH(C25,'کارکرد اداری'!$C$3:$C$64,0)</f>
        <v>#N/A</v>
      </c>
    </row>
    <row r="26" spans="1:107" x14ac:dyDescent="0.25">
      <c r="B26" s="83">
        <v>14538</v>
      </c>
      <c r="C26" s="106" t="s">
        <v>329</v>
      </c>
      <c r="K26" s="83">
        <v>387</v>
      </c>
      <c r="S26" s="83">
        <v>90</v>
      </c>
      <c r="T26" s="83">
        <v>210</v>
      </c>
      <c r="U26" s="83">
        <v>21000</v>
      </c>
      <c r="V26" s="83">
        <v>9955</v>
      </c>
      <c r="W26" s="83">
        <v>50</v>
      </c>
      <c r="X26" s="83">
        <v>50</v>
      </c>
      <c r="Y26" s="83">
        <v>50</v>
      </c>
      <c r="Z26" s="83">
        <v>1000</v>
      </c>
      <c r="AA26" s="83">
        <v>110</v>
      </c>
      <c r="AE26" s="83">
        <v>3360</v>
      </c>
      <c r="AL26" s="83">
        <v>60</v>
      </c>
      <c r="AV26" s="83">
        <v>255</v>
      </c>
      <c r="BP26" s="83">
        <v>320</v>
      </c>
      <c r="CU26" s="83">
        <v>17</v>
      </c>
      <c r="CV26" s="83">
        <v>0</v>
      </c>
      <c r="CW26" s="83">
        <v>9820</v>
      </c>
      <c r="CX26" s="74" cm="1">
        <f t="array" ref="CX26">SUMPRODUCT(D26:CT26/$D$3:$CT$3)</f>
        <v>156.55302211855465</v>
      </c>
      <c r="CY26" s="74">
        <f t="shared" si="1"/>
        <v>1.5942262944862999</v>
      </c>
      <c r="DB26" s="1">
        <f t="shared" ref="DB26:DB34" si="4">CX26-DA26</f>
        <v>156.55302211855465</v>
      </c>
      <c r="DC26" s="1" t="e">
        <f>MATCH(C26,'کارکرد اداری'!$C$3:$C$64,0)</f>
        <v>#N/A</v>
      </c>
    </row>
    <row r="27" spans="1:107" x14ac:dyDescent="0.25">
      <c r="B27" s="83">
        <v>14537</v>
      </c>
      <c r="C27" s="106" t="s">
        <v>330</v>
      </c>
      <c r="M27" s="83">
        <v>394</v>
      </c>
      <c r="S27" s="83">
        <v>290</v>
      </c>
      <c r="AQ27" s="83">
        <v>464</v>
      </c>
      <c r="BC27" s="83">
        <v>49</v>
      </c>
      <c r="BF27" s="83">
        <v>440</v>
      </c>
      <c r="BO27" s="83">
        <v>535</v>
      </c>
      <c r="CO27" s="83">
        <v>108</v>
      </c>
      <c r="CU27" s="83">
        <v>17</v>
      </c>
      <c r="CV27" s="83">
        <v>0</v>
      </c>
      <c r="CW27" s="83">
        <v>8200</v>
      </c>
      <c r="CX27" s="74" cm="1">
        <f t="array" ref="CX27">SUMPRODUCT(D27:CT27/$D$3:$CT$3)</f>
        <v>135.39014827250122</v>
      </c>
      <c r="CY27" s="74">
        <f t="shared" si="1"/>
        <v>1.6510993691768443</v>
      </c>
      <c r="DB27" s="1">
        <f t="shared" si="4"/>
        <v>135.39014827250122</v>
      </c>
      <c r="DC27" s="1" t="e">
        <f>MATCH(C27,'کارکرد اداری'!$C$3:$C$64,0)</f>
        <v>#N/A</v>
      </c>
    </row>
    <row r="28" spans="1:107" x14ac:dyDescent="0.25">
      <c r="B28" s="83">
        <v>14541</v>
      </c>
      <c r="C28" s="106" t="s">
        <v>331</v>
      </c>
      <c r="AF28" s="83">
        <v>3380</v>
      </c>
      <c r="AK28" s="83">
        <v>60</v>
      </c>
      <c r="AW28" s="83">
        <v>1170</v>
      </c>
      <c r="BV28" s="83">
        <v>4535</v>
      </c>
      <c r="BX28" s="83">
        <v>36867</v>
      </c>
      <c r="BY28" s="83">
        <v>14682</v>
      </c>
      <c r="CU28" s="83">
        <v>16</v>
      </c>
      <c r="CV28" s="83">
        <v>0</v>
      </c>
      <c r="CW28" s="83">
        <v>9380</v>
      </c>
      <c r="CX28" s="74" cm="1">
        <f t="array" ref="CX28">SUMPRODUCT(D28:CT28/$D$3:$CT$3)</f>
        <v>164.90743727561016</v>
      </c>
      <c r="CY28" s="74">
        <f t="shared" si="1"/>
        <v>1.7580750242602365</v>
      </c>
      <c r="DB28" s="1">
        <f t="shared" si="4"/>
        <v>164.90743727561016</v>
      </c>
      <c r="DC28" s="1" t="e">
        <f>MATCH(C28,'کارکرد اداری'!$C$3:$C$64,0)</f>
        <v>#N/A</v>
      </c>
    </row>
    <row r="29" spans="1:107" x14ac:dyDescent="0.25">
      <c r="B29" s="83">
        <v>14554</v>
      </c>
      <c r="C29" s="106" t="s">
        <v>332</v>
      </c>
      <c r="D29" s="83">
        <v>3908</v>
      </c>
      <c r="M29" s="83">
        <v>283</v>
      </c>
      <c r="Q29" s="83">
        <v>30</v>
      </c>
      <c r="CB29" s="83">
        <v>2980</v>
      </c>
      <c r="CC29" s="83">
        <v>850</v>
      </c>
      <c r="CU29" s="83">
        <v>16</v>
      </c>
      <c r="CV29" s="83">
        <v>0</v>
      </c>
      <c r="CW29" s="83">
        <v>8820</v>
      </c>
      <c r="CX29" s="74" cm="1">
        <f t="array" ref="CX29">SUMPRODUCT(D29:CT29/$D$3:$CT$3)</f>
        <v>152.61754445964434</v>
      </c>
      <c r="CY29" s="74">
        <f t="shared" si="1"/>
        <v>1.730357646934743</v>
      </c>
      <c r="DB29" s="1">
        <f t="shared" si="4"/>
        <v>152.61754445964434</v>
      </c>
      <c r="DC29" s="1" t="e">
        <f>MATCH(C29,'کارکرد اداری'!$C$3:$C$64,0)</f>
        <v>#N/A</v>
      </c>
    </row>
    <row r="30" spans="1:107" x14ac:dyDescent="0.25">
      <c r="B30" s="83">
        <v>14570</v>
      </c>
      <c r="C30" s="162" t="s">
        <v>333</v>
      </c>
      <c r="D30" s="83">
        <v>4300</v>
      </c>
      <c r="M30" s="83">
        <v>424</v>
      </c>
      <c r="Q30" s="83">
        <v>30</v>
      </c>
      <c r="CB30" s="83">
        <v>4183</v>
      </c>
      <c r="CU30" s="83">
        <v>17</v>
      </c>
      <c r="CV30" s="83">
        <v>0</v>
      </c>
      <c r="CW30" s="83">
        <v>10000</v>
      </c>
      <c r="CX30" s="74" cm="1">
        <f t="array" ref="CX30">SUMPRODUCT(D30:CT30/$D$3:$CT$3)</f>
        <v>173.50647058823529</v>
      </c>
      <c r="CY30" s="74">
        <f t="shared" si="1"/>
        <v>1.735064705882353</v>
      </c>
      <c r="DB30" s="1">
        <f t="shared" si="4"/>
        <v>173.50647058823529</v>
      </c>
      <c r="DC30" s="1" t="e">
        <f>MATCH(C30,'کارکرد اداری'!$C$3:$C$64,0)</f>
        <v>#N/A</v>
      </c>
    </row>
    <row r="31" spans="1:107" x14ac:dyDescent="0.25">
      <c r="B31" s="83">
        <v>14580</v>
      </c>
      <c r="C31" s="106" t="s">
        <v>334</v>
      </c>
      <c r="S31" s="83">
        <v>1660</v>
      </c>
      <c r="AI31" s="83">
        <v>150</v>
      </c>
      <c r="AU31" s="83">
        <v>563</v>
      </c>
      <c r="BB31" s="83">
        <v>250</v>
      </c>
      <c r="BC31" s="83">
        <v>196.5</v>
      </c>
      <c r="BO31" s="83">
        <v>541.5</v>
      </c>
      <c r="CU31" s="83">
        <v>17</v>
      </c>
      <c r="CV31" s="83">
        <v>0</v>
      </c>
      <c r="CW31" s="83">
        <v>7870</v>
      </c>
      <c r="CX31" s="74" cm="1">
        <f t="array" ref="CX31">SUMPRODUCT(D31:CT31/$D$3:$CT$3)</f>
        <v>129.35226451883929</v>
      </c>
      <c r="CY31" s="74">
        <f t="shared" si="1"/>
        <v>1.6436120015100291</v>
      </c>
      <c r="DB31" s="1">
        <f t="shared" si="4"/>
        <v>129.35226451883929</v>
      </c>
      <c r="DC31" s="1" t="e">
        <f>MATCH(C31,'کارکرد اداری'!$C$3:$C$64,0)</f>
        <v>#N/A</v>
      </c>
    </row>
    <row r="32" spans="1:107" x14ac:dyDescent="0.25">
      <c r="B32" s="83">
        <v>14592</v>
      </c>
      <c r="C32" s="106" t="s">
        <v>335</v>
      </c>
      <c r="BJ32" s="83">
        <v>5890</v>
      </c>
      <c r="BK32" s="83">
        <v>5072</v>
      </c>
      <c r="CG32" s="83">
        <v>540</v>
      </c>
      <c r="CH32" s="83">
        <v>40</v>
      </c>
      <c r="CU32" s="83">
        <v>15</v>
      </c>
      <c r="CV32" s="83">
        <v>0</v>
      </c>
      <c r="CW32" s="83">
        <v>8460</v>
      </c>
      <c r="CX32" s="74" cm="1">
        <f t="array" ref="CX32">SUMPRODUCT(D32:CT32/$D$3:$CT$3)</f>
        <v>138.76048951048949</v>
      </c>
      <c r="CY32" s="74">
        <f t="shared" si="1"/>
        <v>1.6401949114715069</v>
      </c>
      <c r="DB32" s="1">
        <f t="shared" si="4"/>
        <v>138.76048951048949</v>
      </c>
      <c r="DC32" s="1" t="e">
        <f>MATCH(C32,'کارکرد اداری'!$C$3:$C$64,0)</f>
        <v>#N/A</v>
      </c>
    </row>
    <row r="33" spans="1:107" x14ac:dyDescent="0.25">
      <c r="B33" s="83">
        <v>14603</v>
      </c>
      <c r="C33" s="106" t="s">
        <v>372</v>
      </c>
      <c r="M33" s="83">
        <v>253</v>
      </c>
      <c r="S33" s="83">
        <v>1600</v>
      </c>
      <c r="BC33" s="83">
        <v>40</v>
      </c>
      <c r="BO33" s="83">
        <v>68</v>
      </c>
      <c r="CG33" s="83">
        <v>900</v>
      </c>
      <c r="CH33" s="83">
        <v>1258</v>
      </c>
      <c r="CK33" s="83">
        <v>3851</v>
      </c>
      <c r="CO33" s="83">
        <v>492</v>
      </c>
      <c r="CR33" s="83">
        <v>192</v>
      </c>
      <c r="CU33" s="83">
        <v>16</v>
      </c>
      <c r="CV33" s="83">
        <v>0</v>
      </c>
      <c r="CW33" s="83">
        <v>7370</v>
      </c>
      <c r="CX33" s="74" cm="1">
        <f t="array" ref="CX33">SUMPRODUCT(D33:CT33/$D$3:$CT$3)</f>
        <v>112.38025252308745</v>
      </c>
      <c r="CY33" s="74">
        <f t="shared" si="1"/>
        <v>1.5248338198519329</v>
      </c>
      <c r="DB33" s="1">
        <f t="shared" si="4"/>
        <v>112.38025252308745</v>
      </c>
      <c r="DC33" s="1" t="e">
        <f>MATCH(C33,'کارکرد اداری'!$C$3:$C$64,0)</f>
        <v>#N/A</v>
      </c>
    </row>
    <row r="34" spans="1:107" x14ac:dyDescent="0.25">
      <c r="B34" s="83">
        <v>14140</v>
      </c>
      <c r="C34" s="106" t="s">
        <v>344</v>
      </c>
      <c r="M34" s="83">
        <v>394</v>
      </c>
      <c r="BF34" s="83">
        <v>3800</v>
      </c>
      <c r="BG34" s="83">
        <v>5220</v>
      </c>
      <c r="CU34" s="83">
        <v>19</v>
      </c>
      <c r="CV34" s="83">
        <v>0</v>
      </c>
      <c r="CW34" s="83">
        <v>10700</v>
      </c>
      <c r="CX34" s="74" cm="1">
        <f t="array" ref="CX34">SUMPRODUCT(D34:CT34/$D$3:$CT$3)</f>
        <v>179.30392156862746</v>
      </c>
      <c r="CY34" s="74">
        <f t="shared" si="1"/>
        <v>1.6757375847535276</v>
      </c>
      <c r="DB34" s="1">
        <f t="shared" si="4"/>
        <v>179.30392156862746</v>
      </c>
      <c r="DC34" s="1" t="e">
        <f>MATCH(C34,'کارکرد اداری'!$C$3:$C$64,0)</f>
        <v>#N/A</v>
      </c>
    </row>
    <row r="35" spans="1:107" x14ac:dyDescent="0.25">
      <c r="B35" s="83">
        <v>14546</v>
      </c>
      <c r="C35" s="106" t="s">
        <v>338</v>
      </c>
      <c r="K35" s="83">
        <v>649</v>
      </c>
      <c r="S35" s="83">
        <v>350</v>
      </c>
      <c r="T35" s="83">
        <v>300</v>
      </c>
      <c r="AM35" s="83">
        <v>120</v>
      </c>
      <c r="AV35" s="83">
        <v>250</v>
      </c>
      <c r="BM35" s="83">
        <v>475</v>
      </c>
      <c r="BP35" s="83">
        <v>1018</v>
      </c>
      <c r="BS35" s="83">
        <v>294</v>
      </c>
      <c r="CU35" s="83">
        <v>16</v>
      </c>
      <c r="CV35" s="83">
        <v>0</v>
      </c>
      <c r="CW35" s="83">
        <v>7760</v>
      </c>
      <c r="CX35" s="74" cm="1">
        <f t="array" ref="CX35">SUMPRODUCT(D35:CT35/$D$3:$CT$3)</f>
        <v>114.31996846648227</v>
      </c>
      <c r="CY35" s="74">
        <f t="shared" si="1"/>
        <v>1.4731954699288952</v>
      </c>
      <c r="DB35" s="1">
        <f t="shared" ref="DB35:DB36" si="5">CX35-DA35</f>
        <v>114.31996846648227</v>
      </c>
      <c r="DC35" s="1" t="e">
        <f>MATCH(C35,'کارکرد اداری'!$C$3:$C$64,0)</f>
        <v>#N/A</v>
      </c>
    </row>
    <row r="36" spans="1:107" x14ac:dyDescent="0.25">
      <c r="B36" s="83">
        <v>14631</v>
      </c>
      <c r="C36" s="106" t="s">
        <v>431</v>
      </c>
      <c r="BA36" s="83">
        <v>30</v>
      </c>
      <c r="BC36" s="83">
        <v>56</v>
      </c>
      <c r="BM36" s="83">
        <v>220</v>
      </c>
      <c r="BU36" s="83">
        <v>129</v>
      </c>
      <c r="CL36" s="83">
        <v>16.96</v>
      </c>
      <c r="CM36" s="83">
        <v>4</v>
      </c>
      <c r="CO36" s="83">
        <v>225</v>
      </c>
      <c r="CP36" s="83">
        <v>112</v>
      </c>
      <c r="CU36" s="83">
        <v>17</v>
      </c>
      <c r="CV36" s="83">
        <v>0</v>
      </c>
      <c r="CW36" s="83">
        <v>7940</v>
      </c>
      <c r="CX36" s="74" cm="1">
        <f t="array" ref="CX36">SUMPRODUCT(D36:CT36/$D$3:$CT$3)</f>
        <v>132.86770544679143</v>
      </c>
      <c r="CY36" s="74">
        <f t="shared" si="1"/>
        <v>1.6733967940401944</v>
      </c>
      <c r="DB36" s="1">
        <f t="shared" si="5"/>
        <v>132.86770544679143</v>
      </c>
      <c r="DC36" s="1" t="e">
        <f>MATCH(C36,'کارکرد اداری'!$C$3:$C$64,0)</f>
        <v>#N/A</v>
      </c>
    </row>
    <row r="37" spans="1:107" x14ac:dyDescent="0.25">
      <c r="B37" s="83">
        <v>14636</v>
      </c>
      <c r="C37" s="106" t="s">
        <v>342</v>
      </c>
      <c r="D37" s="83">
        <v>4177</v>
      </c>
      <c r="L37" s="83">
        <v>636</v>
      </c>
      <c r="Q37" s="83">
        <v>30</v>
      </c>
      <c r="S37" s="83">
        <v>30</v>
      </c>
      <c r="BO37" s="83">
        <v>18</v>
      </c>
      <c r="CG37" s="83">
        <v>2000</v>
      </c>
      <c r="CO37" s="83">
        <v>500</v>
      </c>
      <c r="CU37" s="83">
        <v>17</v>
      </c>
      <c r="CV37" s="83">
        <v>0</v>
      </c>
      <c r="CW37" s="83">
        <v>9750</v>
      </c>
      <c r="CX37" s="74" cm="1">
        <f t="array" ref="CX37">SUMPRODUCT(D37:CT37/$D$3:$CT$3)</f>
        <v>160.47199177500136</v>
      </c>
      <c r="CY37" s="74">
        <f t="shared" si="1"/>
        <v>1.6458665823077063</v>
      </c>
      <c r="DB37" s="1">
        <f t="shared" si="3"/>
        <v>160.47199177500136</v>
      </c>
      <c r="DC37" s="1" t="e">
        <f>MATCH(C37,'کارکرد اداری'!$C$3:$C$64,0)</f>
        <v>#N/A</v>
      </c>
    </row>
    <row r="38" spans="1:107" x14ac:dyDescent="0.25">
      <c r="B38" s="83">
        <v>14641</v>
      </c>
      <c r="C38" s="106" t="s">
        <v>339</v>
      </c>
      <c r="I38" s="83">
        <v>185</v>
      </c>
      <c r="N38" s="83">
        <v>600</v>
      </c>
      <c r="S38" s="83">
        <v>240</v>
      </c>
      <c r="T38" s="83">
        <v>500</v>
      </c>
      <c r="AN38" s="83">
        <v>600</v>
      </c>
      <c r="BL38" s="83">
        <v>3312</v>
      </c>
      <c r="BQ38" s="83">
        <v>900</v>
      </c>
      <c r="BS38" s="83">
        <v>1130</v>
      </c>
      <c r="CG38" s="83">
        <v>360</v>
      </c>
      <c r="CH38" s="83">
        <v>1365</v>
      </c>
      <c r="CK38" s="83">
        <v>1273</v>
      </c>
      <c r="CU38" s="83">
        <v>17</v>
      </c>
      <c r="CV38" s="83">
        <v>0</v>
      </c>
      <c r="CW38" s="83">
        <v>7840</v>
      </c>
      <c r="CX38" s="74" cm="1">
        <f t="array" ref="CX38">SUMPRODUCT(D38:CT38/$D$3:$CT$3)</f>
        <v>111.318162231409</v>
      </c>
      <c r="CY38" s="74">
        <f t="shared" si="1"/>
        <v>1.4198745182577679</v>
      </c>
      <c r="DB38" s="1">
        <f t="shared" si="3"/>
        <v>111.318162231409</v>
      </c>
      <c r="DC38" s="1" t="e">
        <f>MATCH(C38,'کارکرد اداری'!$C$3:$C$64,0)</f>
        <v>#N/A</v>
      </c>
    </row>
    <row r="39" spans="1:107" x14ac:dyDescent="0.25">
      <c r="B39" s="83">
        <v>14642</v>
      </c>
      <c r="C39" s="106" t="s">
        <v>354</v>
      </c>
      <c r="S39" s="83">
        <v>800</v>
      </c>
      <c r="BC39" s="83">
        <v>197.5</v>
      </c>
      <c r="BO39" s="83">
        <v>192</v>
      </c>
      <c r="BU39" s="83">
        <v>494</v>
      </c>
      <c r="CO39" s="83">
        <v>1128</v>
      </c>
      <c r="CU39" s="83">
        <v>17</v>
      </c>
      <c r="CV39" s="83">
        <v>0</v>
      </c>
      <c r="CW39" s="83">
        <v>8200</v>
      </c>
      <c r="CX39" s="74" cm="1">
        <f t="array" ref="CX39">SUMPRODUCT(D39:CT39/$D$3:$CT$3)</f>
        <v>133.51330687841846</v>
      </c>
      <c r="CY39" s="74">
        <f t="shared" si="1"/>
        <v>1.628211059492908</v>
      </c>
      <c r="DB39" s="1">
        <f t="shared" si="3"/>
        <v>133.51330687841846</v>
      </c>
      <c r="DC39" s="1" t="e">
        <f>MATCH(C39,'کارکرد اداری'!$C$3:$C$64,0)</f>
        <v>#N/A</v>
      </c>
    </row>
    <row r="40" spans="1:107" x14ac:dyDescent="0.25">
      <c r="B40" s="83">
        <v>784</v>
      </c>
      <c r="C40" s="106" t="s">
        <v>526</v>
      </c>
      <c r="BA40" s="83">
        <v>50</v>
      </c>
      <c r="CL40" s="83">
        <v>98.4</v>
      </c>
      <c r="CP40" s="83">
        <v>10.65</v>
      </c>
      <c r="CU40" s="83">
        <v>17</v>
      </c>
      <c r="CV40" s="83">
        <v>0</v>
      </c>
      <c r="CW40" s="83">
        <v>7880</v>
      </c>
      <c r="CX40" s="74" cm="1">
        <f t="array" ref="CX40">SUMPRODUCT(D40:CT40/$D$3:$CT$3)</f>
        <v>135.97036871174802</v>
      </c>
      <c r="CY40" s="74">
        <f t="shared" si="1"/>
        <v>1.7255122932962947</v>
      </c>
      <c r="DB40" s="1">
        <f t="shared" si="3"/>
        <v>135.97036871174802</v>
      </c>
      <c r="DC40" s="1" t="e">
        <f>MATCH(C40,'کارکرد اداری'!$C$3:$C$64,0)</f>
        <v>#N/A</v>
      </c>
    </row>
    <row r="41" spans="1:107" x14ac:dyDescent="0.25">
      <c r="B41" s="83">
        <v>1015</v>
      </c>
      <c r="C41" s="106" t="s">
        <v>348</v>
      </c>
      <c r="F41" s="83">
        <v>2385</v>
      </c>
      <c r="H41" s="83">
        <v>215</v>
      </c>
      <c r="M41" s="83">
        <v>424</v>
      </c>
      <c r="Q41" s="83">
        <v>60</v>
      </c>
      <c r="AK41" s="83">
        <v>30</v>
      </c>
      <c r="BZ41" s="83">
        <v>1785</v>
      </c>
      <c r="CB41" s="83">
        <v>6033</v>
      </c>
      <c r="CC41" s="83">
        <v>2227</v>
      </c>
      <c r="CD41" s="83">
        <v>699</v>
      </c>
      <c r="CE41" s="83">
        <v>660</v>
      </c>
      <c r="CU41" s="83">
        <v>17</v>
      </c>
      <c r="CV41" s="83">
        <v>0</v>
      </c>
      <c r="CW41" s="83">
        <v>9280</v>
      </c>
      <c r="CX41" s="74" cm="1">
        <f t="array" ref="CX41">SUMPRODUCT(D41:CT41/$D$3:$CT$3)</f>
        <v>161.70931150683248</v>
      </c>
      <c r="CY41" s="74">
        <f t="shared" si="1"/>
        <v>1.7425572360650052</v>
      </c>
      <c r="DB41" s="1">
        <f t="shared" si="3"/>
        <v>161.70931150683248</v>
      </c>
      <c r="DC41" s="1" t="e">
        <f>MATCH(C41,'کارکرد اداری'!$C$3:$C$64,0)</f>
        <v>#N/A</v>
      </c>
    </row>
    <row r="42" spans="1:107" x14ac:dyDescent="0.25">
      <c r="B42" s="83">
        <v>14703</v>
      </c>
      <c r="C42" s="106" t="s">
        <v>349</v>
      </c>
      <c r="D42" s="83">
        <v>2426</v>
      </c>
      <c r="BF42" s="83">
        <v>5220</v>
      </c>
      <c r="CG42" s="83">
        <v>2700</v>
      </c>
      <c r="CK42" s="83">
        <v>2123</v>
      </c>
      <c r="CU42" s="83">
        <v>17</v>
      </c>
      <c r="CV42" s="83">
        <v>0</v>
      </c>
      <c r="CW42" s="83">
        <v>9640</v>
      </c>
      <c r="CX42" s="74" cm="1">
        <f t="array" ref="CX42">SUMPRODUCT(D42:CT42/$D$3:$CT$3)</f>
        <v>161.07558533567649</v>
      </c>
      <c r="CY42" s="74">
        <f t="shared" si="1"/>
        <v>1.6709085615734076</v>
      </c>
      <c r="DB42" s="1">
        <f t="shared" si="3"/>
        <v>161.07558533567649</v>
      </c>
      <c r="DC42" s="1" t="e">
        <f>MATCH(C42,'کارکرد اداری'!$C$3:$C$64,0)</f>
        <v>#N/A</v>
      </c>
    </row>
    <row r="43" spans="1:107" x14ac:dyDescent="0.25">
      <c r="B43" s="83">
        <v>14712</v>
      </c>
      <c r="C43" s="106" t="s">
        <v>350</v>
      </c>
      <c r="K43" s="83">
        <v>118</v>
      </c>
      <c r="R43" s="83">
        <v>2120</v>
      </c>
      <c r="S43" s="83">
        <v>610</v>
      </c>
      <c r="T43" s="83">
        <v>3070</v>
      </c>
      <c r="AH43" s="83">
        <v>80</v>
      </c>
      <c r="BM43" s="83">
        <v>317</v>
      </c>
      <c r="BP43" s="83">
        <v>86</v>
      </c>
      <c r="BS43" s="83">
        <v>300</v>
      </c>
      <c r="CQ43" s="83">
        <v>393</v>
      </c>
      <c r="CU43" s="83">
        <v>16</v>
      </c>
      <c r="CV43" s="83">
        <v>0</v>
      </c>
      <c r="CW43" s="83">
        <v>7940</v>
      </c>
      <c r="CX43" s="74" cm="1">
        <f t="array" ref="CX43">SUMPRODUCT(D43:CT43/$D$3:$CT$3)</f>
        <v>131.46687592598269</v>
      </c>
      <c r="CY43" s="74">
        <f t="shared" si="1"/>
        <v>1.6557541048612427</v>
      </c>
      <c r="DB43" s="1">
        <f t="shared" si="3"/>
        <v>131.46687592598269</v>
      </c>
      <c r="DC43" s="1" t="e">
        <f>MATCH(C43,'کارکرد اداری'!$C$3:$C$64,0)</f>
        <v>#N/A</v>
      </c>
    </row>
    <row r="44" spans="1:107" x14ac:dyDescent="0.25">
      <c r="B44" s="83">
        <v>14718</v>
      </c>
      <c r="C44" s="106" t="s">
        <v>351</v>
      </c>
      <c r="D44" s="83">
        <v>3726</v>
      </c>
      <c r="Q44" s="83">
        <v>30</v>
      </c>
      <c r="BZ44" s="83">
        <v>1982</v>
      </c>
      <c r="CB44" s="83">
        <v>4302</v>
      </c>
      <c r="CC44" s="83">
        <v>850</v>
      </c>
      <c r="CU44" s="83">
        <v>16</v>
      </c>
      <c r="CV44" s="83">
        <v>0</v>
      </c>
      <c r="CW44" s="83">
        <v>8840</v>
      </c>
      <c r="CX44" s="74" cm="1">
        <f t="array" ref="CX44">SUMPRODUCT(D44:CT44/$D$3:$CT$3)</f>
        <v>149.12389388313466</v>
      </c>
      <c r="CY44" s="74">
        <f t="shared" si="1"/>
        <v>1.6869218765060483</v>
      </c>
      <c r="DB44" s="1">
        <f t="shared" si="3"/>
        <v>149.12389388313466</v>
      </c>
      <c r="DC44" s="1" t="e">
        <f>MATCH(C44,'کارکرد اداری'!$C$3:$C$64,0)</f>
        <v>#N/A</v>
      </c>
    </row>
    <row r="45" spans="1:107" x14ac:dyDescent="0.25">
      <c r="B45" s="83">
        <v>14739</v>
      </c>
      <c r="C45" s="106" t="s">
        <v>360</v>
      </c>
      <c r="D45" s="83">
        <v>4300</v>
      </c>
      <c r="M45" s="83">
        <v>424</v>
      </c>
      <c r="Q45" s="83">
        <v>30</v>
      </c>
      <c r="S45" s="83">
        <v>30</v>
      </c>
      <c r="BO45" s="83">
        <v>218</v>
      </c>
      <c r="CU45" s="83">
        <v>16</v>
      </c>
      <c r="CV45" s="83">
        <v>0</v>
      </c>
      <c r="CW45" s="83">
        <v>9380</v>
      </c>
      <c r="CX45" s="74" cm="1">
        <f t="array" ref="CX45">SUMPRODUCT(D45:CT45/$D$3:$CT$3)</f>
        <v>160.12518853695326</v>
      </c>
      <c r="CY45" s="74">
        <f t="shared" si="1"/>
        <v>1.7070915622276466</v>
      </c>
      <c r="DB45" s="1">
        <f t="shared" si="3"/>
        <v>160.12518853695326</v>
      </c>
      <c r="DC45" s="1" t="e">
        <f>MATCH(C45,'کارکرد اداری'!$C$3:$C$64,0)</f>
        <v>#N/A</v>
      </c>
    </row>
    <row r="46" spans="1:107" x14ac:dyDescent="0.25">
      <c r="B46" s="83">
        <v>981</v>
      </c>
      <c r="C46" s="106" t="s">
        <v>403</v>
      </c>
      <c r="S46" s="83">
        <v>190</v>
      </c>
      <c r="T46" s="83">
        <v>30</v>
      </c>
      <c r="AX46" s="83">
        <v>16</v>
      </c>
      <c r="BO46" s="83">
        <v>85</v>
      </c>
      <c r="CO46" s="83">
        <v>1914</v>
      </c>
      <c r="CU46" s="83">
        <v>15</v>
      </c>
      <c r="CV46" s="83">
        <v>0</v>
      </c>
      <c r="CW46" s="83">
        <v>7320</v>
      </c>
      <c r="CX46" s="74" cm="1">
        <f t="array" ref="CX46">SUMPRODUCT(D46:CT46/$D$3:$CT$3)</f>
        <v>119.2087472087472</v>
      </c>
      <c r="CY46" s="74">
        <f t="shared" si="1"/>
        <v>1.6285347979337048</v>
      </c>
      <c r="DB46" s="1">
        <f t="shared" ref="DB46:DB54" si="6">CX46-DA46</f>
        <v>119.2087472087472</v>
      </c>
      <c r="DC46" s="1" t="e">
        <f>MATCH(C46,'کارکرد اداری'!$C$3:$C$64,0)</f>
        <v>#N/A</v>
      </c>
    </row>
    <row r="47" spans="1:107" ht="14.25" customHeight="1" x14ac:dyDescent="0.25">
      <c r="B47" s="83">
        <v>14760</v>
      </c>
      <c r="C47" s="106" t="s">
        <v>364</v>
      </c>
      <c r="E47" s="83">
        <v>5775</v>
      </c>
      <c r="AF47" s="83">
        <v>10080</v>
      </c>
      <c r="AK47" s="83">
        <v>510</v>
      </c>
      <c r="AW47" s="83">
        <v>1795</v>
      </c>
      <c r="BW47" s="83">
        <v>5134</v>
      </c>
      <c r="BX47" s="83">
        <v>24767</v>
      </c>
      <c r="BY47" s="83">
        <v>11925</v>
      </c>
      <c r="CU47" s="83">
        <v>16</v>
      </c>
      <c r="CV47" s="83">
        <v>0</v>
      </c>
      <c r="CW47" s="83">
        <v>9090</v>
      </c>
      <c r="CX47" s="74" cm="1">
        <f t="array" ref="CX47">SUMPRODUCT(D47:CT47/$D$3:$CT$3)</f>
        <v>158.07804822286073</v>
      </c>
      <c r="CY47" s="74">
        <f t="shared" si="1"/>
        <v>1.7390324336948375</v>
      </c>
      <c r="DB47" s="1">
        <f t="shared" si="6"/>
        <v>158.07804822286073</v>
      </c>
      <c r="DC47" s="1" t="e">
        <f>MATCH(C47,'کارکرد اداری'!$C$3:$C$64,0)</f>
        <v>#N/A</v>
      </c>
    </row>
    <row r="48" spans="1:107" s="75" customFormat="1" x14ac:dyDescent="0.25">
      <c r="A48" s="83"/>
      <c r="B48" s="83">
        <v>1195</v>
      </c>
      <c r="C48" s="106" t="s">
        <v>587</v>
      </c>
      <c r="D48" s="83">
        <v>1054</v>
      </c>
      <c r="E48" s="83"/>
      <c r="F48" s="83"/>
      <c r="G48" s="83"/>
      <c r="H48" s="83"/>
      <c r="I48" s="83"/>
      <c r="J48" s="83"/>
      <c r="K48" s="83"/>
      <c r="L48" s="83"/>
      <c r="M48" s="83"/>
      <c r="N48" s="83"/>
      <c r="O48" s="83"/>
      <c r="P48" s="83"/>
      <c r="Q48" s="83"/>
      <c r="R48" s="83"/>
      <c r="S48" s="83"/>
      <c r="T48" s="83"/>
      <c r="U48" s="83"/>
      <c r="V48" s="83"/>
      <c r="W48" s="83"/>
      <c r="X48" s="83"/>
      <c r="Y48" s="83"/>
      <c r="Z48" s="83"/>
      <c r="AA48" s="83"/>
      <c r="AB48" s="83"/>
      <c r="AC48" s="83"/>
      <c r="AD48" s="83"/>
      <c r="AE48" s="83"/>
      <c r="AF48" s="83"/>
      <c r="AG48" s="83"/>
      <c r="AH48" s="83"/>
      <c r="AI48" s="83"/>
      <c r="AJ48" s="83"/>
      <c r="AK48" s="83">
        <v>620</v>
      </c>
      <c r="AL48" s="83"/>
      <c r="AM48" s="83"/>
      <c r="AN48" s="83"/>
      <c r="AO48" s="83"/>
      <c r="AP48" s="83"/>
      <c r="AQ48" s="83"/>
      <c r="AR48" s="83"/>
      <c r="AS48" s="83"/>
      <c r="AT48" s="83"/>
      <c r="AU48" s="83"/>
      <c r="AV48" s="83"/>
      <c r="AW48" s="83"/>
      <c r="AX48" s="83"/>
      <c r="AY48" s="83"/>
      <c r="AZ48" s="83"/>
      <c r="BA48" s="83"/>
      <c r="BB48" s="83"/>
      <c r="BC48" s="83"/>
      <c r="BD48" s="83"/>
      <c r="BE48" s="83"/>
      <c r="BF48" s="83"/>
      <c r="BG48" s="83"/>
      <c r="BH48" s="83"/>
      <c r="BI48" s="83"/>
      <c r="BJ48" s="83"/>
      <c r="BK48" s="83"/>
      <c r="BL48" s="83"/>
      <c r="BM48" s="83"/>
      <c r="BN48" s="83"/>
      <c r="BO48" s="83"/>
      <c r="BP48" s="83"/>
      <c r="BQ48" s="83"/>
      <c r="BR48" s="83"/>
      <c r="BS48" s="83"/>
      <c r="BT48" s="83"/>
      <c r="BU48" s="83"/>
      <c r="BV48" s="83"/>
      <c r="BW48" s="83"/>
      <c r="BX48" s="83"/>
      <c r="BY48" s="83"/>
      <c r="BZ48" s="83"/>
      <c r="CA48" s="83"/>
      <c r="CB48" s="83"/>
      <c r="CC48" s="83"/>
      <c r="CD48" s="83"/>
      <c r="CE48" s="83"/>
      <c r="CF48" s="83"/>
      <c r="CG48" s="83"/>
      <c r="CH48" s="83"/>
      <c r="CI48" s="83"/>
      <c r="CJ48" s="83"/>
      <c r="CK48" s="83"/>
      <c r="CL48" s="83"/>
      <c r="CM48" s="83"/>
      <c r="CN48" s="83"/>
      <c r="CO48" s="83"/>
      <c r="CP48" s="83"/>
      <c r="CQ48" s="83"/>
      <c r="CR48" s="83"/>
      <c r="CS48" s="83"/>
      <c r="CT48" s="83"/>
      <c r="CU48" s="83">
        <v>7</v>
      </c>
      <c r="CV48" s="83">
        <v>0</v>
      </c>
      <c r="CW48" s="83">
        <v>4340</v>
      </c>
      <c r="CX48" s="74" cm="1">
        <f t="array" ref="CX48">SUMPRODUCT(D48:CT48/$D$3:$CT$3)</f>
        <v>34.844961240310077</v>
      </c>
      <c r="CY48" s="74">
        <f t="shared" si="1"/>
        <v>0.80287929125138424</v>
      </c>
      <c r="DB48" s="75">
        <f t="shared" si="6"/>
        <v>34.844961240310077</v>
      </c>
      <c r="DC48" s="75" t="e">
        <f>MATCH(C48,'کارکرد اداری'!$C$3:$C$64,0)</f>
        <v>#N/A</v>
      </c>
    </row>
    <row r="49" spans="1:107" s="75" customFormat="1" x14ac:dyDescent="0.25">
      <c r="A49" s="83"/>
      <c r="B49" s="83">
        <v>1054</v>
      </c>
      <c r="C49" s="106" t="s">
        <v>404</v>
      </c>
      <c r="D49" s="83"/>
      <c r="E49" s="83"/>
      <c r="F49" s="83"/>
      <c r="G49" s="83"/>
      <c r="H49" s="83"/>
      <c r="I49" s="83">
        <v>40</v>
      </c>
      <c r="J49" s="83"/>
      <c r="K49" s="83"/>
      <c r="L49" s="83"/>
      <c r="M49" s="83"/>
      <c r="N49" s="83"/>
      <c r="O49" s="83"/>
      <c r="P49" s="83"/>
      <c r="Q49" s="83"/>
      <c r="R49" s="83"/>
      <c r="S49" s="83"/>
      <c r="T49" s="83">
        <v>240</v>
      </c>
      <c r="U49" s="83"/>
      <c r="V49" s="83"/>
      <c r="W49" s="83"/>
      <c r="X49" s="83"/>
      <c r="Y49" s="83"/>
      <c r="Z49" s="83"/>
      <c r="AA49" s="83"/>
      <c r="AB49" s="83"/>
      <c r="AC49" s="83"/>
      <c r="AD49" s="83"/>
      <c r="AE49" s="83"/>
      <c r="AF49" s="83"/>
      <c r="AG49" s="83"/>
      <c r="AH49" s="83"/>
      <c r="AI49" s="83"/>
      <c r="AJ49" s="83"/>
      <c r="AK49" s="83"/>
      <c r="AL49" s="83"/>
      <c r="AM49" s="83"/>
      <c r="AN49" s="83">
        <v>1700</v>
      </c>
      <c r="AO49" s="83"/>
      <c r="AP49" s="83"/>
      <c r="AQ49" s="83"/>
      <c r="AR49" s="83"/>
      <c r="AS49" s="83"/>
      <c r="AT49" s="83"/>
      <c r="AU49" s="83"/>
      <c r="AV49" s="83">
        <v>194</v>
      </c>
      <c r="AW49" s="83"/>
      <c r="AX49" s="83"/>
      <c r="AY49" s="83"/>
      <c r="AZ49" s="83"/>
      <c r="BA49" s="83"/>
      <c r="BB49" s="83"/>
      <c r="BC49" s="83"/>
      <c r="BD49" s="83"/>
      <c r="BE49" s="83"/>
      <c r="BF49" s="83"/>
      <c r="BG49" s="83"/>
      <c r="BH49" s="83"/>
      <c r="BI49" s="83"/>
      <c r="BJ49" s="83"/>
      <c r="BK49" s="83"/>
      <c r="BL49" s="83">
        <v>764</v>
      </c>
      <c r="BM49" s="83">
        <v>1082</v>
      </c>
      <c r="BN49" s="83"/>
      <c r="BO49" s="83"/>
      <c r="BP49" s="83">
        <v>406</v>
      </c>
      <c r="BQ49" s="83"/>
      <c r="BR49" s="83"/>
      <c r="BS49" s="83">
        <v>200</v>
      </c>
      <c r="BT49" s="83"/>
      <c r="BU49" s="83"/>
      <c r="BV49" s="83"/>
      <c r="BW49" s="83"/>
      <c r="BX49" s="83"/>
      <c r="BY49" s="83"/>
      <c r="BZ49" s="83"/>
      <c r="CA49" s="83"/>
      <c r="CB49" s="83"/>
      <c r="CC49" s="83"/>
      <c r="CD49" s="83"/>
      <c r="CE49" s="83"/>
      <c r="CF49" s="83"/>
      <c r="CG49" s="83"/>
      <c r="CH49" s="83">
        <v>555</v>
      </c>
      <c r="CI49" s="83"/>
      <c r="CJ49" s="83"/>
      <c r="CK49" s="83">
        <v>273</v>
      </c>
      <c r="CL49" s="83"/>
      <c r="CM49" s="83"/>
      <c r="CN49" s="83">
        <v>85</v>
      </c>
      <c r="CO49" s="83"/>
      <c r="CP49" s="83"/>
      <c r="CQ49" s="83">
        <v>341</v>
      </c>
      <c r="CR49" s="83"/>
      <c r="CS49" s="83"/>
      <c r="CT49" s="83"/>
      <c r="CU49" s="83">
        <v>16</v>
      </c>
      <c r="CV49" s="83">
        <v>0</v>
      </c>
      <c r="CW49" s="83">
        <v>7370</v>
      </c>
      <c r="CX49" s="74" cm="1">
        <f t="array" ref="CX49">SUMPRODUCT(D49:CT49/$D$3:$CT$3)</f>
        <v>110.36774868656759</v>
      </c>
      <c r="CY49" s="74">
        <f t="shared" si="1"/>
        <v>1.4975271192207273</v>
      </c>
      <c r="DB49" s="75">
        <f t="shared" si="6"/>
        <v>110.36774868656759</v>
      </c>
      <c r="DC49" s="75" t="e">
        <f>MATCH(C49,'کارکرد اداری'!$C$3:$C$64,0)</f>
        <v>#N/A</v>
      </c>
    </row>
    <row r="50" spans="1:107" s="75" customFormat="1" x14ac:dyDescent="0.25">
      <c r="A50" s="83"/>
      <c r="B50" s="138">
        <v>1057</v>
      </c>
      <c r="C50" s="106" t="s">
        <v>411</v>
      </c>
      <c r="D50" s="83"/>
      <c r="E50" s="83"/>
      <c r="F50" s="83"/>
      <c r="G50" s="83"/>
      <c r="H50" s="83"/>
      <c r="I50" s="83"/>
      <c r="J50" s="83"/>
      <c r="K50" s="83"/>
      <c r="L50" s="83"/>
      <c r="M50" s="83"/>
      <c r="N50" s="83"/>
      <c r="O50" s="83"/>
      <c r="P50" s="83"/>
      <c r="Q50" s="83"/>
      <c r="R50" s="83"/>
      <c r="S50" s="83"/>
      <c r="T50" s="83"/>
      <c r="U50" s="83"/>
      <c r="V50" s="83"/>
      <c r="W50" s="83"/>
      <c r="X50" s="83"/>
      <c r="Y50" s="83"/>
      <c r="Z50" s="83"/>
      <c r="AA50" s="83"/>
      <c r="AB50" s="83"/>
      <c r="AC50" s="83"/>
      <c r="AD50" s="83"/>
      <c r="AE50" s="83"/>
      <c r="AF50" s="83"/>
      <c r="AG50" s="83"/>
      <c r="AH50" s="83"/>
      <c r="AI50" s="83"/>
      <c r="AJ50" s="83"/>
      <c r="AK50" s="83"/>
      <c r="AL50" s="83"/>
      <c r="AM50" s="83">
        <v>440</v>
      </c>
      <c r="AN50" s="83"/>
      <c r="AO50" s="83"/>
      <c r="AP50" s="83"/>
      <c r="AQ50" s="83"/>
      <c r="AR50" s="83"/>
      <c r="AS50" s="83"/>
      <c r="AT50" s="83"/>
      <c r="AU50" s="83"/>
      <c r="AV50" s="83"/>
      <c r="AW50" s="83"/>
      <c r="AX50" s="83"/>
      <c r="AY50" s="83"/>
      <c r="AZ50" s="83"/>
      <c r="BA50" s="83"/>
      <c r="BB50" s="83"/>
      <c r="BC50" s="83"/>
      <c r="BD50" s="83"/>
      <c r="BE50" s="83"/>
      <c r="BF50" s="83"/>
      <c r="BG50" s="83"/>
      <c r="BH50" s="83">
        <v>620</v>
      </c>
      <c r="BI50" s="83"/>
      <c r="BJ50" s="83"/>
      <c r="BK50" s="83"/>
      <c r="BL50" s="83"/>
      <c r="BM50" s="83"/>
      <c r="BN50" s="83"/>
      <c r="BO50" s="83"/>
      <c r="BP50" s="83"/>
      <c r="BQ50" s="83"/>
      <c r="BR50" s="83"/>
      <c r="BS50" s="83"/>
      <c r="BT50" s="83"/>
      <c r="BU50" s="83"/>
      <c r="BV50" s="83"/>
      <c r="BW50" s="83"/>
      <c r="BX50" s="83"/>
      <c r="BY50" s="83"/>
      <c r="BZ50" s="83"/>
      <c r="CA50" s="83"/>
      <c r="CB50" s="83"/>
      <c r="CC50" s="83"/>
      <c r="CD50" s="83"/>
      <c r="CE50" s="83"/>
      <c r="CF50" s="83"/>
      <c r="CG50" s="83">
        <v>1500</v>
      </c>
      <c r="CH50" s="83"/>
      <c r="CI50" s="83"/>
      <c r="CJ50" s="83"/>
      <c r="CK50" s="83">
        <v>1415</v>
      </c>
      <c r="CL50" s="83"/>
      <c r="CM50" s="83"/>
      <c r="CN50" s="83"/>
      <c r="CO50" s="83"/>
      <c r="CP50" s="83"/>
      <c r="CQ50" s="83"/>
      <c r="CR50" s="83"/>
      <c r="CS50" s="83"/>
      <c r="CT50" s="83"/>
      <c r="CU50" s="83">
        <v>3</v>
      </c>
      <c r="CV50" s="83">
        <v>0</v>
      </c>
      <c r="CW50" s="83">
        <v>1680</v>
      </c>
      <c r="CX50" s="74" cm="1">
        <f t="array" ref="CX50">SUMPRODUCT(D50:CT50/$D$3:$CT$3)</f>
        <v>27.994945216310857</v>
      </c>
      <c r="CY50" s="74">
        <f t="shared" si="1"/>
        <v>1.66636578668517</v>
      </c>
      <c r="DB50" s="75">
        <f t="shared" si="6"/>
        <v>27.994945216310857</v>
      </c>
      <c r="DC50" s="75" t="e">
        <f>MATCH(C50,'کارکرد اداری'!$C$3:$C$64,0)</f>
        <v>#N/A</v>
      </c>
    </row>
    <row r="51" spans="1:107" s="75" customFormat="1" x14ac:dyDescent="0.25">
      <c r="A51" s="83"/>
      <c r="B51" s="83">
        <v>1060</v>
      </c>
      <c r="C51" s="106" t="s">
        <v>412</v>
      </c>
      <c r="D51" s="83"/>
      <c r="E51" s="83"/>
      <c r="F51" s="83"/>
      <c r="G51" s="83"/>
      <c r="H51" s="83"/>
      <c r="I51" s="83"/>
      <c r="J51" s="83"/>
      <c r="K51" s="83"/>
      <c r="L51" s="83"/>
      <c r="M51" s="83"/>
      <c r="N51" s="83"/>
      <c r="O51" s="83"/>
      <c r="P51" s="83"/>
      <c r="Q51" s="83"/>
      <c r="R51" s="83"/>
      <c r="S51" s="83">
        <v>440</v>
      </c>
      <c r="T51" s="83">
        <v>160</v>
      </c>
      <c r="U51" s="83"/>
      <c r="V51" s="83"/>
      <c r="W51" s="83"/>
      <c r="X51" s="83"/>
      <c r="Y51" s="83"/>
      <c r="Z51" s="83"/>
      <c r="AA51" s="83"/>
      <c r="AB51" s="83"/>
      <c r="AC51" s="83"/>
      <c r="AD51" s="83"/>
      <c r="AE51" s="83"/>
      <c r="AF51" s="83"/>
      <c r="AG51" s="83"/>
      <c r="AH51" s="83"/>
      <c r="AI51" s="83"/>
      <c r="AJ51" s="83"/>
      <c r="AK51" s="83"/>
      <c r="AL51" s="83"/>
      <c r="AM51" s="83"/>
      <c r="AN51" s="83"/>
      <c r="AO51" s="83"/>
      <c r="AP51" s="83"/>
      <c r="AQ51" s="83"/>
      <c r="AR51" s="83"/>
      <c r="AS51" s="83"/>
      <c r="AT51" s="83"/>
      <c r="AU51" s="83"/>
      <c r="AV51" s="83"/>
      <c r="AW51" s="83"/>
      <c r="AX51" s="83"/>
      <c r="AY51" s="83"/>
      <c r="AZ51" s="83"/>
      <c r="BA51" s="83"/>
      <c r="BB51" s="83"/>
      <c r="BC51" s="83"/>
      <c r="BD51" s="83"/>
      <c r="BE51" s="83"/>
      <c r="BF51" s="83"/>
      <c r="BG51" s="83"/>
      <c r="BH51" s="83"/>
      <c r="BI51" s="83"/>
      <c r="BJ51" s="83"/>
      <c r="BK51" s="83"/>
      <c r="BL51" s="83"/>
      <c r="BM51" s="83"/>
      <c r="BN51" s="83"/>
      <c r="BO51" s="83"/>
      <c r="BP51" s="83"/>
      <c r="BQ51" s="83"/>
      <c r="BR51" s="83"/>
      <c r="BS51" s="83"/>
      <c r="BT51" s="83"/>
      <c r="BU51" s="83"/>
      <c r="BV51" s="83"/>
      <c r="BW51" s="83"/>
      <c r="BX51" s="83"/>
      <c r="BY51" s="83"/>
      <c r="BZ51" s="83"/>
      <c r="CA51" s="83"/>
      <c r="CB51" s="83"/>
      <c r="CC51" s="83"/>
      <c r="CD51" s="83"/>
      <c r="CE51" s="83"/>
      <c r="CF51" s="83"/>
      <c r="CG51" s="83"/>
      <c r="CH51" s="83"/>
      <c r="CI51" s="83"/>
      <c r="CJ51" s="83"/>
      <c r="CK51" s="83"/>
      <c r="CL51" s="83"/>
      <c r="CM51" s="83"/>
      <c r="CN51" s="83"/>
      <c r="CO51" s="83"/>
      <c r="CP51" s="83"/>
      <c r="CQ51" s="83"/>
      <c r="CR51" s="83"/>
      <c r="CS51" s="83">
        <v>3880</v>
      </c>
      <c r="CT51" s="83">
        <v>9710</v>
      </c>
      <c r="CU51" s="83">
        <v>17</v>
      </c>
      <c r="CV51" s="83">
        <v>0</v>
      </c>
      <c r="CW51" s="83">
        <v>8020</v>
      </c>
      <c r="CX51" s="74" cm="1">
        <f t="array" ref="CX51">SUMPRODUCT(D51:CT51/$D$3:$CT$3)</f>
        <v>133.72542595019661</v>
      </c>
      <c r="CY51" s="74">
        <f t="shared" si="1"/>
        <v>1.6673993260623017</v>
      </c>
      <c r="DB51" s="75">
        <f t="shared" si="6"/>
        <v>133.72542595019661</v>
      </c>
      <c r="DC51" s="75" t="e">
        <f>MATCH(C51,'کارکرد اداری'!$C$3:$C$64,0)</f>
        <v>#N/A</v>
      </c>
    </row>
    <row r="52" spans="1:107" s="75" customFormat="1" x14ac:dyDescent="0.25">
      <c r="A52" s="83"/>
      <c r="B52" s="83">
        <v>1063</v>
      </c>
      <c r="C52" s="106" t="s">
        <v>407</v>
      </c>
      <c r="D52" s="83"/>
      <c r="E52" s="83"/>
      <c r="F52" s="83">
        <v>1335</v>
      </c>
      <c r="G52" s="83"/>
      <c r="H52" s="83"/>
      <c r="I52" s="83"/>
      <c r="J52" s="83"/>
      <c r="K52" s="83"/>
      <c r="L52" s="83">
        <v>621</v>
      </c>
      <c r="M52" s="83"/>
      <c r="N52" s="83"/>
      <c r="O52" s="83"/>
      <c r="P52" s="83">
        <v>950</v>
      </c>
      <c r="Q52" s="83"/>
      <c r="R52" s="83"/>
      <c r="S52" s="83">
        <v>940</v>
      </c>
      <c r="T52" s="83"/>
      <c r="U52" s="83"/>
      <c r="V52" s="83"/>
      <c r="W52" s="83"/>
      <c r="X52" s="83"/>
      <c r="Y52" s="83"/>
      <c r="Z52" s="83"/>
      <c r="AA52" s="83"/>
      <c r="AB52" s="83"/>
      <c r="AC52" s="83"/>
      <c r="AD52" s="83"/>
      <c r="AE52" s="83"/>
      <c r="AF52" s="83"/>
      <c r="AG52" s="83"/>
      <c r="AH52" s="83"/>
      <c r="AI52" s="83"/>
      <c r="AJ52" s="83"/>
      <c r="AK52" s="83"/>
      <c r="AL52" s="83"/>
      <c r="AM52" s="83"/>
      <c r="AN52" s="83"/>
      <c r="AO52" s="83"/>
      <c r="AP52" s="83"/>
      <c r="AQ52" s="83"/>
      <c r="AR52" s="83"/>
      <c r="AS52" s="83"/>
      <c r="AT52" s="83"/>
      <c r="AU52" s="83"/>
      <c r="AV52" s="83"/>
      <c r="AW52" s="83"/>
      <c r="AX52" s="83"/>
      <c r="AY52" s="83"/>
      <c r="AZ52" s="83"/>
      <c r="BA52" s="83"/>
      <c r="BB52" s="83"/>
      <c r="BC52" s="83"/>
      <c r="BD52" s="83"/>
      <c r="BE52" s="83"/>
      <c r="BF52" s="83"/>
      <c r="BG52" s="83"/>
      <c r="BH52" s="83"/>
      <c r="BI52" s="83"/>
      <c r="BJ52" s="83"/>
      <c r="BK52" s="83"/>
      <c r="BL52" s="83"/>
      <c r="BM52" s="83"/>
      <c r="BN52" s="83"/>
      <c r="BO52" s="83">
        <v>20</v>
      </c>
      <c r="BP52" s="83"/>
      <c r="BQ52" s="83"/>
      <c r="BR52" s="83"/>
      <c r="BS52" s="83"/>
      <c r="BT52" s="83">
        <v>685</v>
      </c>
      <c r="BU52" s="83"/>
      <c r="BV52" s="83"/>
      <c r="BW52" s="83"/>
      <c r="BX52" s="83"/>
      <c r="BY52" s="83"/>
      <c r="BZ52" s="83"/>
      <c r="CA52" s="83"/>
      <c r="CB52" s="83"/>
      <c r="CC52" s="83">
        <v>3692</v>
      </c>
      <c r="CD52" s="83"/>
      <c r="CE52" s="83"/>
      <c r="CF52" s="83"/>
      <c r="CG52" s="83">
        <v>5756</v>
      </c>
      <c r="CH52" s="83"/>
      <c r="CI52" s="83">
        <v>620</v>
      </c>
      <c r="CJ52" s="83"/>
      <c r="CK52" s="83">
        <v>2179</v>
      </c>
      <c r="CL52" s="83"/>
      <c r="CM52" s="83"/>
      <c r="CN52" s="83"/>
      <c r="CO52" s="83"/>
      <c r="CP52" s="83"/>
      <c r="CQ52" s="83"/>
      <c r="CR52" s="83"/>
      <c r="CS52" s="83"/>
      <c r="CT52" s="83"/>
      <c r="CU52" s="83">
        <v>17</v>
      </c>
      <c r="CV52" s="83">
        <v>0</v>
      </c>
      <c r="CW52" s="83">
        <v>9280</v>
      </c>
      <c r="CX52" s="74" cm="1">
        <f t="array" ref="CX52">SUMPRODUCT(D52:CT52/$D$3:$CT$3)</f>
        <v>147.82542976319718</v>
      </c>
      <c r="CY52" s="74">
        <f t="shared" si="1"/>
        <v>1.5929464414137628</v>
      </c>
      <c r="DB52" s="75">
        <f t="shared" si="6"/>
        <v>147.82542976319718</v>
      </c>
      <c r="DC52" s="75" t="e">
        <f>MATCH(C52,'کارکرد اداری'!$C$3:$C$64,0)</f>
        <v>#N/A</v>
      </c>
    </row>
    <row r="53" spans="1:107" s="75" customFormat="1" x14ac:dyDescent="0.25">
      <c r="A53" s="83"/>
      <c r="B53" s="83">
        <v>1066</v>
      </c>
      <c r="C53" s="106" t="s">
        <v>527</v>
      </c>
      <c r="D53" s="83"/>
      <c r="E53" s="83"/>
      <c r="F53" s="83"/>
      <c r="G53" s="83"/>
      <c r="H53" s="83"/>
      <c r="I53" s="83"/>
      <c r="J53" s="83"/>
      <c r="K53" s="83"/>
      <c r="L53" s="83"/>
      <c r="M53" s="83"/>
      <c r="N53" s="83"/>
      <c r="O53" s="83"/>
      <c r="P53" s="83"/>
      <c r="Q53" s="83"/>
      <c r="R53" s="83"/>
      <c r="S53" s="83"/>
      <c r="T53" s="83"/>
      <c r="U53" s="83"/>
      <c r="V53" s="83"/>
      <c r="W53" s="83"/>
      <c r="X53" s="83"/>
      <c r="Y53" s="83"/>
      <c r="Z53" s="83"/>
      <c r="AA53" s="83"/>
      <c r="AB53" s="83"/>
      <c r="AC53" s="83"/>
      <c r="AD53" s="83"/>
      <c r="AE53" s="83"/>
      <c r="AF53" s="83"/>
      <c r="AG53" s="83"/>
      <c r="AH53" s="83"/>
      <c r="AI53" s="83"/>
      <c r="AJ53" s="83"/>
      <c r="AK53" s="83"/>
      <c r="AL53" s="83"/>
      <c r="AM53" s="83"/>
      <c r="AN53" s="83"/>
      <c r="AO53" s="83"/>
      <c r="AP53" s="83"/>
      <c r="AQ53" s="83"/>
      <c r="AR53" s="83"/>
      <c r="AS53" s="83"/>
      <c r="AT53" s="83"/>
      <c r="AU53" s="83"/>
      <c r="AV53" s="83"/>
      <c r="AW53" s="83"/>
      <c r="AX53" s="83"/>
      <c r="AY53" s="83"/>
      <c r="AZ53" s="83"/>
      <c r="BA53" s="83">
        <v>30</v>
      </c>
      <c r="BB53" s="83"/>
      <c r="BC53" s="83"/>
      <c r="BD53" s="83"/>
      <c r="BE53" s="83"/>
      <c r="BF53" s="83"/>
      <c r="BG53" s="83"/>
      <c r="BH53" s="83"/>
      <c r="BI53" s="83"/>
      <c r="BJ53" s="83"/>
      <c r="BK53" s="83"/>
      <c r="BL53" s="83"/>
      <c r="BM53" s="83"/>
      <c r="BN53" s="83"/>
      <c r="BO53" s="83"/>
      <c r="BP53" s="83"/>
      <c r="BQ53" s="83"/>
      <c r="BR53" s="83"/>
      <c r="BS53" s="83"/>
      <c r="BT53" s="83"/>
      <c r="BU53" s="83"/>
      <c r="BV53" s="83"/>
      <c r="BW53" s="83"/>
      <c r="BX53" s="83"/>
      <c r="BY53" s="83"/>
      <c r="BZ53" s="83"/>
      <c r="CA53" s="83"/>
      <c r="CB53" s="83"/>
      <c r="CC53" s="83"/>
      <c r="CD53" s="83"/>
      <c r="CE53" s="83"/>
      <c r="CF53" s="83"/>
      <c r="CG53" s="83"/>
      <c r="CH53" s="83"/>
      <c r="CI53" s="83"/>
      <c r="CJ53" s="83"/>
      <c r="CK53" s="83"/>
      <c r="CL53" s="83">
        <v>67.290000000000006</v>
      </c>
      <c r="CM53" s="83">
        <v>9</v>
      </c>
      <c r="CN53" s="83"/>
      <c r="CO53" s="83"/>
      <c r="CP53" s="83">
        <v>49.65</v>
      </c>
      <c r="CQ53" s="83"/>
      <c r="CR53" s="83"/>
      <c r="CS53" s="83"/>
      <c r="CT53" s="83"/>
      <c r="CU53" s="83">
        <v>16</v>
      </c>
      <c r="CV53" s="83">
        <v>0</v>
      </c>
      <c r="CW53" s="83">
        <v>7760</v>
      </c>
      <c r="CX53" s="74" cm="1">
        <f t="array" ref="CX53">SUMPRODUCT(D53:CT53/$D$3:$CT$3)</f>
        <v>131.40934021541915</v>
      </c>
      <c r="CY53" s="74">
        <f t="shared" si="1"/>
        <v>1.6934193326729272</v>
      </c>
      <c r="DB53" s="75">
        <f t="shared" si="6"/>
        <v>131.40934021541915</v>
      </c>
      <c r="DC53" s="75" t="e">
        <f>MATCH(C53,'کارکرد اداری'!$C$3:$C$64,0)</f>
        <v>#N/A</v>
      </c>
    </row>
    <row r="54" spans="1:107" s="75" customFormat="1" x14ac:dyDescent="0.25">
      <c r="A54" s="83"/>
      <c r="B54" s="83">
        <v>1068</v>
      </c>
      <c r="C54" s="106" t="s">
        <v>528</v>
      </c>
      <c r="D54" s="83"/>
      <c r="E54" s="83"/>
      <c r="F54" s="83"/>
      <c r="G54" s="83"/>
      <c r="H54" s="83"/>
      <c r="I54" s="83"/>
      <c r="J54" s="83"/>
      <c r="K54" s="83"/>
      <c r="L54" s="83"/>
      <c r="M54" s="83"/>
      <c r="N54" s="83"/>
      <c r="O54" s="83"/>
      <c r="P54" s="83"/>
      <c r="Q54" s="83"/>
      <c r="R54" s="83"/>
      <c r="S54" s="83">
        <v>30</v>
      </c>
      <c r="T54" s="83"/>
      <c r="U54" s="83"/>
      <c r="V54" s="83">
        <v>450</v>
      </c>
      <c r="W54" s="83"/>
      <c r="X54" s="83"/>
      <c r="Y54" s="83"/>
      <c r="Z54" s="83">
        <v>5000</v>
      </c>
      <c r="AA54" s="83">
        <v>5335</v>
      </c>
      <c r="AB54" s="83"/>
      <c r="AC54" s="83"/>
      <c r="AD54" s="83"/>
      <c r="AE54" s="83"/>
      <c r="AF54" s="83"/>
      <c r="AG54" s="83">
        <v>6720</v>
      </c>
      <c r="AH54" s="83"/>
      <c r="AI54" s="83"/>
      <c r="AJ54" s="83"/>
      <c r="AK54" s="83"/>
      <c r="AL54" s="83"/>
      <c r="AM54" s="83"/>
      <c r="AN54" s="83"/>
      <c r="AO54" s="83"/>
      <c r="AP54" s="83"/>
      <c r="AQ54" s="83"/>
      <c r="AR54" s="83"/>
      <c r="AS54" s="83"/>
      <c r="AT54" s="83"/>
      <c r="AU54" s="83"/>
      <c r="AV54" s="83"/>
      <c r="AW54" s="83"/>
      <c r="AX54" s="83"/>
      <c r="AY54" s="83"/>
      <c r="AZ54" s="83"/>
      <c r="BA54" s="83"/>
      <c r="BB54" s="83"/>
      <c r="BC54" s="83"/>
      <c r="BD54" s="83"/>
      <c r="BE54" s="83">
        <v>440</v>
      </c>
      <c r="BF54" s="83">
        <v>2920</v>
      </c>
      <c r="BG54" s="83"/>
      <c r="BH54" s="83"/>
      <c r="BI54" s="83"/>
      <c r="BJ54" s="83"/>
      <c r="BK54" s="83"/>
      <c r="BL54" s="83"/>
      <c r="BM54" s="83"/>
      <c r="BN54" s="83"/>
      <c r="BO54" s="83"/>
      <c r="BP54" s="83"/>
      <c r="BQ54" s="83"/>
      <c r="BR54" s="83"/>
      <c r="BS54" s="83"/>
      <c r="BT54" s="83"/>
      <c r="BU54" s="83"/>
      <c r="BV54" s="83"/>
      <c r="BW54" s="83"/>
      <c r="BX54" s="83"/>
      <c r="BY54" s="83"/>
      <c r="BZ54" s="83"/>
      <c r="CA54" s="83"/>
      <c r="CB54" s="83"/>
      <c r="CC54" s="83"/>
      <c r="CD54" s="83"/>
      <c r="CE54" s="83"/>
      <c r="CF54" s="83"/>
      <c r="CG54" s="83"/>
      <c r="CH54" s="83"/>
      <c r="CI54" s="83"/>
      <c r="CJ54" s="83"/>
      <c r="CK54" s="83"/>
      <c r="CL54" s="83">
        <v>19.5</v>
      </c>
      <c r="CM54" s="83"/>
      <c r="CN54" s="83"/>
      <c r="CO54" s="83"/>
      <c r="CP54" s="83"/>
      <c r="CQ54" s="83"/>
      <c r="CR54" s="83"/>
      <c r="CS54" s="83"/>
      <c r="CT54" s="83"/>
      <c r="CU54" s="83">
        <v>16</v>
      </c>
      <c r="CV54" s="83">
        <v>0</v>
      </c>
      <c r="CW54" s="83">
        <v>8640</v>
      </c>
      <c r="CX54" s="74" cm="1">
        <f t="array" ref="CX54">SUMPRODUCT(D54:CT54/$D$3:$CT$3)</f>
        <v>144.7242311714345</v>
      </c>
      <c r="CY54" s="74">
        <f t="shared" si="1"/>
        <v>1.6750489718916031</v>
      </c>
      <c r="DB54" s="75">
        <f t="shared" si="6"/>
        <v>144.7242311714345</v>
      </c>
      <c r="DC54" s="75" t="e">
        <f>MATCH(C54,'کارکرد اداری'!$C$3:$C$64,0)</f>
        <v>#N/A</v>
      </c>
    </row>
    <row r="55" spans="1:107" s="75" customFormat="1" x14ac:dyDescent="0.25">
      <c r="A55" s="83"/>
      <c r="B55" s="83">
        <v>1067</v>
      </c>
      <c r="C55" s="106" t="s">
        <v>409</v>
      </c>
      <c r="D55" s="83"/>
      <c r="E55" s="83"/>
      <c r="F55" s="83"/>
      <c r="G55" s="83"/>
      <c r="H55" s="83"/>
      <c r="I55" s="83"/>
      <c r="J55" s="83"/>
      <c r="K55" s="83"/>
      <c r="L55" s="83"/>
      <c r="M55" s="83"/>
      <c r="N55" s="83"/>
      <c r="O55" s="83"/>
      <c r="P55" s="83"/>
      <c r="Q55" s="83"/>
      <c r="R55" s="83"/>
      <c r="S55" s="83">
        <v>500</v>
      </c>
      <c r="T55" s="83"/>
      <c r="U55" s="83"/>
      <c r="V55" s="83"/>
      <c r="W55" s="83"/>
      <c r="X55" s="83"/>
      <c r="Y55" s="83"/>
      <c r="Z55" s="83"/>
      <c r="AA55" s="83"/>
      <c r="AB55" s="83"/>
      <c r="AC55" s="83"/>
      <c r="AD55" s="83"/>
      <c r="AE55" s="83"/>
      <c r="AF55" s="83"/>
      <c r="AG55" s="83"/>
      <c r="AH55" s="83"/>
      <c r="AI55" s="83"/>
      <c r="AJ55" s="83"/>
      <c r="AK55" s="83"/>
      <c r="AL55" s="83"/>
      <c r="AM55" s="83"/>
      <c r="AN55" s="83"/>
      <c r="AO55" s="83">
        <v>203</v>
      </c>
      <c r="AP55" s="83"/>
      <c r="AQ55" s="83"/>
      <c r="AR55" s="83"/>
      <c r="AS55" s="83"/>
      <c r="AT55" s="83"/>
      <c r="AU55" s="83"/>
      <c r="AV55" s="83"/>
      <c r="AW55" s="83"/>
      <c r="AX55" s="83"/>
      <c r="AY55" s="83"/>
      <c r="AZ55" s="83"/>
      <c r="BA55" s="83"/>
      <c r="BB55" s="83"/>
      <c r="BC55" s="83">
        <v>102</v>
      </c>
      <c r="BD55" s="83"/>
      <c r="BE55" s="83"/>
      <c r="BF55" s="83"/>
      <c r="BG55" s="83"/>
      <c r="BH55" s="83"/>
      <c r="BI55" s="83"/>
      <c r="BJ55" s="83"/>
      <c r="BK55" s="83"/>
      <c r="BL55" s="83"/>
      <c r="BM55" s="83"/>
      <c r="BN55" s="83"/>
      <c r="BO55" s="83">
        <v>527</v>
      </c>
      <c r="BP55" s="83"/>
      <c r="BQ55" s="83"/>
      <c r="BR55" s="83"/>
      <c r="BS55" s="83"/>
      <c r="BT55" s="83"/>
      <c r="BU55" s="83">
        <v>1093</v>
      </c>
      <c r="BV55" s="83"/>
      <c r="BW55" s="83"/>
      <c r="BX55" s="83"/>
      <c r="BY55" s="83"/>
      <c r="BZ55" s="83"/>
      <c r="CA55" s="83"/>
      <c r="CB55" s="83"/>
      <c r="CC55" s="83"/>
      <c r="CD55" s="83"/>
      <c r="CE55" s="83"/>
      <c r="CF55" s="83"/>
      <c r="CG55" s="83"/>
      <c r="CH55" s="83"/>
      <c r="CI55" s="83"/>
      <c r="CJ55" s="83"/>
      <c r="CK55" s="83"/>
      <c r="CL55" s="83"/>
      <c r="CM55" s="83"/>
      <c r="CN55" s="83"/>
      <c r="CO55" s="83">
        <v>69</v>
      </c>
      <c r="CP55" s="83"/>
      <c r="CQ55" s="83"/>
      <c r="CR55" s="83"/>
      <c r="CS55" s="83"/>
      <c r="CT55" s="83"/>
      <c r="CU55" s="83">
        <v>17</v>
      </c>
      <c r="CV55" s="83">
        <v>0</v>
      </c>
      <c r="CW55" s="83">
        <v>8200</v>
      </c>
      <c r="CX55" s="74" cm="1">
        <f t="array" ref="CX55">SUMPRODUCT(D55:CT55/$D$3:$CT$3)</f>
        <v>135.20814786332028</v>
      </c>
      <c r="CY55" s="74">
        <f t="shared" si="1"/>
        <v>1.6488798519917109</v>
      </c>
      <c r="DB55" s="75">
        <f t="shared" ref="DB55:DB58" si="7">CX55-DA55</f>
        <v>135.20814786332028</v>
      </c>
      <c r="DC55" s="75" t="e">
        <f>MATCH(C55,'کارکرد اداری'!$C$3:$C$64,0)</f>
        <v>#N/A</v>
      </c>
    </row>
    <row r="56" spans="1:107" s="75" customFormat="1" x14ac:dyDescent="0.25">
      <c r="A56" s="83"/>
      <c r="B56" s="138">
        <v>1087</v>
      </c>
      <c r="C56" s="106" t="s">
        <v>418</v>
      </c>
      <c r="D56" s="83"/>
      <c r="E56" s="83"/>
      <c r="F56" s="83"/>
      <c r="G56" s="83"/>
      <c r="H56" s="83"/>
      <c r="I56" s="83"/>
      <c r="J56" s="83"/>
      <c r="K56" s="83"/>
      <c r="L56" s="83"/>
      <c r="M56" s="83"/>
      <c r="N56" s="83"/>
      <c r="O56" s="83"/>
      <c r="P56" s="83"/>
      <c r="Q56" s="83"/>
      <c r="R56" s="83"/>
      <c r="S56" s="83">
        <v>30</v>
      </c>
      <c r="T56" s="83"/>
      <c r="U56" s="83"/>
      <c r="V56" s="83"/>
      <c r="W56" s="83"/>
      <c r="X56" s="83"/>
      <c r="Y56" s="83"/>
      <c r="Z56" s="83"/>
      <c r="AA56" s="83"/>
      <c r="AB56" s="83"/>
      <c r="AC56" s="83"/>
      <c r="AD56" s="83"/>
      <c r="AE56" s="83"/>
      <c r="AF56" s="83"/>
      <c r="AG56" s="83"/>
      <c r="AH56" s="83"/>
      <c r="AI56" s="83"/>
      <c r="AJ56" s="83"/>
      <c r="AK56" s="83"/>
      <c r="AL56" s="83"/>
      <c r="AM56" s="83"/>
      <c r="AN56" s="83"/>
      <c r="AO56" s="83"/>
      <c r="AP56" s="83"/>
      <c r="AQ56" s="83"/>
      <c r="AR56" s="83"/>
      <c r="AS56" s="83"/>
      <c r="AT56" s="83"/>
      <c r="AU56" s="83"/>
      <c r="AV56" s="83"/>
      <c r="AW56" s="83"/>
      <c r="AX56" s="83">
        <v>89</v>
      </c>
      <c r="AY56" s="83"/>
      <c r="AZ56" s="83"/>
      <c r="BA56" s="83">
        <v>30</v>
      </c>
      <c r="BB56" s="83"/>
      <c r="BC56" s="83"/>
      <c r="BD56" s="83"/>
      <c r="BE56" s="83"/>
      <c r="BF56" s="83"/>
      <c r="BG56" s="83"/>
      <c r="BH56" s="83"/>
      <c r="BI56" s="83"/>
      <c r="BJ56" s="83"/>
      <c r="BK56" s="83"/>
      <c r="BL56" s="83"/>
      <c r="BM56" s="83"/>
      <c r="BN56" s="83"/>
      <c r="BO56" s="83"/>
      <c r="BP56" s="83"/>
      <c r="BQ56" s="83"/>
      <c r="BR56" s="83"/>
      <c r="BS56" s="83"/>
      <c r="BT56" s="83"/>
      <c r="BU56" s="83"/>
      <c r="BV56" s="83"/>
      <c r="BW56" s="83"/>
      <c r="BX56" s="83"/>
      <c r="BY56" s="83"/>
      <c r="BZ56" s="83"/>
      <c r="CA56" s="83"/>
      <c r="CB56" s="83"/>
      <c r="CC56" s="83"/>
      <c r="CD56" s="83"/>
      <c r="CE56" s="83"/>
      <c r="CF56" s="83"/>
      <c r="CG56" s="83"/>
      <c r="CH56" s="83"/>
      <c r="CI56" s="83"/>
      <c r="CJ56" s="83"/>
      <c r="CK56" s="83"/>
      <c r="CL56" s="83">
        <v>72.290000000000006</v>
      </c>
      <c r="CM56" s="83"/>
      <c r="CN56" s="83"/>
      <c r="CO56" s="83"/>
      <c r="CP56" s="83">
        <v>11</v>
      </c>
      <c r="CQ56" s="83"/>
      <c r="CR56" s="83"/>
      <c r="CS56" s="83"/>
      <c r="CT56" s="83"/>
      <c r="CU56" s="83">
        <v>13</v>
      </c>
      <c r="CV56" s="83">
        <v>0</v>
      </c>
      <c r="CW56" s="83">
        <v>6440</v>
      </c>
      <c r="CX56" s="74" cm="1">
        <f t="array" ref="CX56">SUMPRODUCT(D56:CT56/$D$3:$CT$3)</f>
        <v>109.06191637226121</v>
      </c>
      <c r="CY56" s="74">
        <f t="shared" si="1"/>
        <v>1.6935080182028137</v>
      </c>
      <c r="DB56" s="75">
        <f t="shared" si="7"/>
        <v>109.06191637226121</v>
      </c>
      <c r="DC56" s="75" t="e">
        <f>MATCH(C56,'کارکرد اداری'!$C$3:$C$64,0)</f>
        <v>#N/A</v>
      </c>
    </row>
    <row r="57" spans="1:107" s="75" customFormat="1" x14ac:dyDescent="0.25">
      <c r="A57" s="83"/>
      <c r="B57" s="83">
        <v>1086</v>
      </c>
      <c r="C57" s="106" t="s">
        <v>419</v>
      </c>
      <c r="D57" s="83"/>
      <c r="E57" s="83"/>
      <c r="F57" s="83"/>
      <c r="G57" s="83"/>
      <c r="H57" s="83"/>
      <c r="I57" s="83"/>
      <c r="J57" s="83"/>
      <c r="K57" s="83"/>
      <c r="L57" s="83"/>
      <c r="M57" s="83"/>
      <c r="N57" s="83"/>
      <c r="O57" s="83"/>
      <c r="P57" s="83"/>
      <c r="Q57" s="83"/>
      <c r="R57" s="83"/>
      <c r="S57" s="83">
        <v>1740</v>
      </c>
      <c r="T57" s="83"/>
      <c r="U57" s="83"/>
      <c r="V57" s="83"/>
      <c r="W57" s="83"/>
      <c r="X57" s="83"/>
      <c r="Y57" s="83"/>
      <c r="Z57" s="83"/>
      <c r="AA57" s="83"/>
      <c r="AB57" s="83"/>
      <c r="AC57" s="83"/>
      <c r="AD57" s="83"/>
      <c r="AE57" s="83"/>
      <c r="AF57" s="83"/>
      <c r="AG57" s="83"/>
      <c r="AH57" s="83"/>
      <c r="AI57" s="83">
        <v>327</v>
      </c>
      <c r="AJ57" s="83"/>
      <c r="AK57" s="83"/>
      <c r="AL57" s="83"/>
      <c r="AM57" s="83"/>
      <c r="AN57" s="83"/>
      <c r="AO57" s="83"/>
      <c r="AP57" s="83"/>
      <c r="AQ57" s="83"/>
      <c r="AR57" s="83"/>
      <c r="AS57" s="83"/>
      <c r="AT57" s="83"/>
      <c r="AU57" s="83"/>
      <c r="AV57" s="83"/>
      <c r="AW57" s="83"/>
      <c r="AX57" s="83"/>
      <c r="AY57" s="83"/>
      <c r="AZ57" s="83"/>
      <c r="BA57" s="83"/>
      <c r="BB57" s="83"/>
      <c r="BC57" s="83">
        <v>202.5</v>
      </c>
      <c r="BD57" s="83"/>
      <c r="BE57" s="83"/>
      <c r="BF57" s="83"/>
      <c r="BG57" s="83"/>
      <c r="BH57" s="83"/>
      <c r="BI57" s="83"/>
      <c r="BJ57" s="83"/>
      <c r="BK57" s="83"/>
      <c r="BL57" s="83"/>
      <c r="BM57" s="83"/>
      <c r="BN57" s="83"/>
      <c r="BO57" s="83">
        <v>588</v>
      </c>
      <c r="BP57" s="83"/>
      <c r="BQ57" s="83"/>
      <c r="BR57" s="83"/>
      <c r="BS57" s="83"/>
      <c r="BT57" s="83"/>
      <c r="BU57" s="83"/>
      <c r="BV57" s="83"/>
      <c r="BW57" s="83"/>
      <c r="BX57" s="83"/>
      <c r="BY57" s="83"/>
      <c r="BZ57" s="83"/>
      <c r="CA57" s="83"/>
      <c r="CB57" s="83"/>
      <c r="CC57" s="83"/>
      <c r="CD57" s="83"/>
      <c r="CE57" s="83"/>
      <c r="CF57" s="83"/>
      <c r="CG57" s="83"/>
      <c r="CH57" s="83"/>
      <c r="CI57" s="83"/>
      <c r="CJ57" s="83"/>
      <c r="CK57" s="83"/>
      <c r="CL57" s="83"/>
      <c r="CM57" s="83"/>
      <c r="CN57" s="83"/>
      <c r="CO57" s="83"/>
      <c r="CP57" s="83"/>
      <c r="CQ57" s="83"/>
      <c r="CR57" s="83"/>
      <c r="CS57" s="83"/>
      <c r="CT57" s="83"/>
      <c r="CU57" s="83">
        <v>17</v>
      </c>
      <c r="CV57" s="83">
        <v>0</v>
      </c>
      <c r="CW57" s="83">
        <v>8200</v>
      </c>
      <c r="CX57" s="74" cm="1">
        <f t="array" ref="CX57">SUMPRODUCT(D57:CT57/$D$3:$CT$3)</f>
        <v>133.23891402714932</v>
      </c>
      <c r="CY57" s="74">
        <f t="shared" si="1"/>
        <v>1.6248648052091381</v>
      </c>
      <c r="DB57" s="75">
        <f t="shared" si="7"/>
        <v>133.23891402714932</v>
      </c>
      <c r="DC57" s="75" t="e">
        <f>MATCH(C57,'کارکرد اداری'!$C$3:$C$64,0)</f>
        <v>#N/A</v>
      </c>
    </row>
    <row r="58" spans="1:107" s="75" customFormat="1" x14ac:dyDescent="0.25">
      <c r="A58" s="83"/>
      <c r="B58" s="138">
        <v>1091</v>
      </c>
      <c r="C58" s="106" t="s">
        <v>529</v>
      </c>
      <c r="D58" s="83">
        <v>1792</v>
      </c>
      <c r="E58" s="83"/>
      <c r="F58" s="83"/>
      <c r="G58" s="83"/>
      <c r="H58" s="83"/>
      <c r="I58" s="83"/>
      <c r="J58" s="83"/>
      <c r="K58" s="83"/>
      <c r="L58" s="83">
        <v>562</v>
      </c>
      <c r="M58" s="83"/>
      <c r="N58" s="83"/>
      <c r="O58" s="83"/>
      <c r="P58" s="83"/>
      <c r="Q58" s="83">
        <v>120</v>
      </c>
      <c r="R58" s="83"/>
      <c r="S58" s="83"/>
      <c r="T58" s="83"/>
      <c r="U58" s="83"/>
      <c r="V58" s="83"/>
      <c r="W58" s="83"/>
      <c r="X58" s="83"/>
      <c r="Y58" s="83"/>
      <c r="Z58" s="83"/>
      <c r="AA58" s="83"/>
      <c r="AB58" s="83"/>
      <c r="AC58" s="83"/>
      <c r="AD58" s="83"/>
      <c r="AE58" s="83"/>
      <c r="AF58" s="83"/>
      <c r="AG58" s="83"/>
      <c r="AH58" s="83"/>
      <c r="AI58" s="83"/>
      <c r="AJ58" s="83"/>
      <c r="AK58" s="83"/>
      <c r="AL58" s="83"/>
      <c r="AM58" s="83">
        <v>240</v>
      </c>
      <c r="AN58" s="83"/>
      <c r="AO58" s="83"/>
      <c r="AP58" s="83"/>
      <c r="AQ58" s="83"/>
      <c r="AR58" s="83"/>
      <c r="AS58" s="83"/>
      <c r="AT58" s="83"/>
      <c r="AU58" s="83"/>
      <c r="AV58" s="83"/>
      <c r="AW58" s="83"/>
      <c r="AX58" s="83"/>
      <c r="AY58" s="83"/>
      <c r="AZ58" s="83"/>
      <c r="BA58" s="83"/>
      <c r="BB58" s="83"/>
      <c r="BC58" s="83"/>
      <c r="BD58" s="83"/>
      <c r="BE58" s="83"/>
      <c r="BF58" s="83">
        <v>30</v>
      </c>
      <c r="BG58" s="83"/>
      <c r="BH58" s="83"/>
      <c r="BI58" s="83"/>
      <c r="BJ58" s="83"/>
      <c r="BK58" s="83"/>
      <c r="BL58" s="83"/>
      <c r="BM58" s="83"/>
      <c r="BN58" s="83"/>
      <c r="BO58" s="83"/>
      <c r="BP58" s="83"/>
      <c r="BQ58" s="83"/>
      <c r="BR58" s="83"/>
      <c r="BS58" s="83"/>
      <c r="BT58" s="83"/>
      <c r="BU58" s="83"/>
      <c r="BV58" s="83"/>
      <c r="BW58" s="83"/>
      <c r="BX58" s="83"/>
      <c r="BY58" s="83"/>
      <c r="BZ58" s="83"/>
      <c r="CA58" s="83"/>
      <c r="CB58" s="83"/>
      <c r="CC58" s="83"/>
      <c r="CD58" s="83"/>
      <c r="CE58" s="83"/>
      <c r="CF58" s="83"/>
      <c r="CG58" s="83">
        <v>4810</v>
      </c>
      <c r="CH58" s="83"/>
      <c r="CI58" s="83">
        <v>1440</v>
      </c>
      <c r="CJ58" s="83"/>
      <c r="CK58" s="83">
        <v>4048</v>
      </c>
      <c r="CL58" s="83"/>
      <c r="CM58" s="83"/>
      <c r="CN58" s="83"/>
      <c r="CO58" s="83"/>
      <c r="CP58" s="83"/>
      <c r="CQ58" s="83"/>
      <c r="CR58" s="83"/>
      <c r="CS58" s="83"/>
      <c r="CT58" s="83"/>
      <c r="CU58" s="83">
        <v>17</v>
      </c>
      <c r="CV58" s="83">
        <v>0</v>
      </c>
      <c r="CW58" s="83">
        <v>9820</v>
      </c>
      <c r="CX58" s="74" cm="1">
        <f t="array" ref="CX58">SUMPRODUCT(D58:CT58/$D$3:$CT$3)</f>
        <v>105.67748287000489</v>
      </c>
      <c r="CY58" s="74">
        <f t="shared" si="1"/>
        <v>1.076145446741394</v>
      </c>
      <c r="DB58" s="75">
        <f t="shared" si="7"/>
        <v>105.67748287000489</v>
      </c>
      <c r="DC58" s="75" t="e">
        <f>MATCH(C58,'کارکرد اداری'!$C$3:$C$64,0)</f>
        <v>#N/A</v>
      </c>
    </row>
    <row r="59" spans="1:107" x14ac:dyDescent="0.25">
      <c r="B59" s="83">
        <v>1095</v>
      </c>
      <c r="C59" s="106" t="s">
        <v>432</v>
      </c>
      <c r="K59" s="83">
        <v>394</v>
      </c>
      <c r="S59" s="83">
        <v>540</v>
      </c>
      <c r="T59" s="83">
        <v>210</v>
      </c>
      <c r="AV59" s="83">
        <v>247</v>
      </c>
      <c r="BF59" s="83">
        <v>620</v>
      </c>
      <c r="BM59" s="83">
        <v>110</v>
      </c>
      <c r="BP59" s="83">
        <v>1138</v>
      </c>
      <c r="BS59" s="83">
        <v>710</v>
      </c>
      <c r="CQ59" s="83">
        <v>76</v>
      </c>
      <c r="CU59" s="83">
        <v>16</v>
      </c>
      <c r="CV59" s="83">
        <v>0</v>
      </c>
      <c r="CW59" s="83">
        <v>7760</v>
      </c>
      <c r="CX59" s="74" cm="1">
        <f t="array" ref="CX59">SUMPRODUCT(D59:CT59/$D$3:$CT$3)</f>
        <v>114.32018759770713</v>
      </c>
      <c r="CY59" s="74">
        <f t="shared" si="1"/>
        <v>1.4731982937848858</v>
      </c>
      <c r="DB59" s="75">
        <f t="shared" ref="DB59:DB62" si="8">CX59-DA59</f>
        <v>114.32018759770713</v>
      </c>
      <c r="DC59" s="75" t="e">
        <f>MATCH(C59,'کارکرد اداری'!$C$3:$C$64,0)</f>
        <v>#N/A</v>
      </c>
    </row>
    <row r="60" spans="1:107" x14ac:dyDescent="0.25">
      <c r="B60" s="83">
        <v>1112</v>
      </c>
      <c r="C60" s="106" t="s">
        <v>434</v>
      </c>
      <c r="S60" s="83">
        <v>90</v>
      </c>
      <c r="AT60" s="83">
        <v>250</v>
      </c>
      <c r="BC60" s="83">
        <v>193.5</v>
      </c>
      <c r="BO60" s="83">
        <v>670</v>
      </c>
      <c r="CH60" s="83">
        <v>675</v>
      </c>
      <c r="CU60" s="83">
        <v>15</v>
      </c>
      <c r="CV60" s="83">
        <v>0</v>
      </c>
      <c r="CW60" s="83">
        <v>7320</v>
      </c>
      <c r="CX60" s="74" cm="1">
        <f t="array" ref="CX60">SUMPRODUCT(D60:CT60/$D$3:$CT$3)</f>
        <v>117.59981280441639</v>
      </c>
      <c r="CY60" s="74">
        <f t="shared" si="1"/>
        <v>1.6065548197324642</v>
      </c>
      <c r="DB60" s="75">
        <f t="shared" si="8"/>
        <v>117.59981280441639</v>
      </c>
      <c r="DC60" s="75" t="e">
        <f>MATCH(C60,'کارکرد اداری'!$C$3:$C$64,0)</f>
        <v>#N/A</v>
      </c>
    </row>
    <row r="61" spans="1:107" x14ac:dyDescent="0.25">
      <c r="B61" s="83">
        <v>1118</v>
      </c>
      <c r="C61" s="106" t="s">
        <v>435</v>
      </c>
      <c r="S61" s="83">
        <v>240</v>
      </c>
      <c r="AX61" s="83">
        <v>116</v>
      </c>
      <c r="BO61" s="83">
        <v>55</v>
      </c>
      <c r="CO61" s="83">
        <v>2117</v>
      </c>
      <c r="CU61" s="83">
        <v>17</v>
      </c>
      <c r="CV61" s="83">
        <v>0</v>
      </c>
      <c r="CW61" s="83">
        <v>8200</v>
      </c>
      <c r="CX61" s="74" cm="1">
        <f t="array" ref="CX61">SUMPRODUCT(D61:CT61/$D$3:$CT$3)</f>
        <v>134.07630707630707</v>
      </c>
      <c r="CY61" s="74">
        <f t="shared" si="1"/>
        <v>1.6350769155647205</v>
      </c>
      <c r="DB61" s="75">
        <f t="shared" si="8"/>
        <v>134.07630707630707</v>
      </c>
      <c r="DC61" s="75" t="e">
        <f>MATCH(C61,'کارکرد اداری'!$C$3:$C$64,0)</f>
        <v>#N/A</v>
      </c>
    </row>
    <row r="62" spans="1:107" x14ac:dyDescent="0.25">
      <c r="B62" s="83">
        <v>1120</v>
      </c>
      <c r="C62" s="106" t="s">
        <v>436</v>
      </c>
      <c r="I62" s="83">
        <v>80</v>
      </c>
      <c r="T62" s="83">
        <v>60</v>
      </c>
      <c r="V62" s="83">
        <v>192</v>
      </c>
      <c r="AL62" s="83">
        <v>120</v>
      </c>
      <c r="AM62" s="83">
        <v>120</v>
      </c>
      <c r="AV62" s="83">
        <v>225</v>
      </c>
      <c r="AZ62" s="83">
        <v>300</v>
      </c>
      <c r="BM62" s="83">
        <v>345</v>
      </c>
      <c r="BS62" s="83">
        <v>724</v>
      </c>
      <c r="CF62" s="83">
        <v>450</v>
      </c>
      <c r="CG62" s="83">
        <v>612</v>
      </c>
      <c r="CH62" s="83">
        <v>1432</v>
      </c>
      <c r="CK62" s="83">
        <v>1181</v>
      </c>
      <c r="CQ62" s="83">
        <v>60</v>
      </c>
      <c r="CU62" s="83">
        <v>11</v>
      </c>
      <c r="CV62" s="83">
        <v>0</v>
      </c>
      <c r="CW62" s="83">
        <v>5170</v>
      </c>
      <c r="CX62" s="74" cm="1">
        <f t="array" ref="CX62">SUMPRODUCT(D62:CT62/$D$3:$CT$3)</f>
        <v>72.874212431620734</v>
      </c>
      <c r="CY62" s="74">
        <f t="shared" si="1"/>
        <v>1.4095592346541728</v>
      </c>
      <c r="DB62" s="75">
        <f t="shared" si="8"/>
        <v>72.874212431620734</v>
      </c>
      <c r="DC62" s="75" t="e">
        <f>MATCH(C62,'کارکرد اداری'!$C$3:$C$64,0)</f>
        <v>#N/A</v>
      </c>
    </row>
    <row r="63" spans="1:107" x14ac:dyDescent="0.25">
      <c r="B63" s="83">
        <v>1121</v>
      </c>
      <c r="C63" s="106" t="s">
        <v>437</v>
      </c>
      <c r="BA63" s="83">
        <v>140</v>
      </c>
      <c r="CL63" s="83">
        <v>64.81</v>
      </c>
      <c r="CP63" s="83">
        <v>29.32</v>
      </c>
      <c r="CU63" s="83">
        <v>13</v>
      </c>
      <c r="CV63" s="83">
        <v>0</v>
      </c>
      <c r="CW63" s="83">
        <v>6140</v>
      </c>
      <c r="CX63" s="74" cm="1">
        <f t="array" ref="CX63">SUMPRODUCT(D63:CT63/$D$3:$CT$3)</f>
        <v>106.72285415733691</v>
      </c>
      <c r="CY63" s="74">
        <f t="shared" si="1"/>
        <v>1.7381572338328488</v>
      </c>
    </row>
    <row r="64" spans="1:107" x14ac:dyDescent="0.25">
      <c r="B64" s="83">
        <v>1122</v>
      </c>
      <c r="C64" s="106" t="s">
        <v>454</v>
      </c>
      <c r="BF64" s="83">
        <v>3450</v>
      </c>
      <c r="BG64" s="83">
        <v>1680</v>
      </c>
      <c r="CU64" s="83">
        <v>9</v>
      </c>
      <c r="CV64" s="83">
        <v>0</v>
      </c>
      <c r="CW64" s="83">
        <v>5130</v>
      </c>
      <c r="CX64" s="74" cm="1">
        <f t="array" ref="CX64">SUMPRODUCT(D64:CT64/$D$3:$CT$3)</f>
        <v>85.5</v>
      </c>
      <c r="CY64" s="74">
        <f t="shared" si="1"/>
        <v>1.6666666666666667</v>
      </c>
    </row>
    <row r="65" spans="2:103" x14ac:dyDescent="0.25">
      <c r="B65" s="83">
        <v>1127</v>
      </c>
      <c r="C65" s="106" t="s">
        <v>459</v>
      </c>
      <c r="S65" s="83">
        <v>2300</v>
      </c>
      <c r="V65" s="83">
        <v>670</v>
      </c>
      <c r="W65" s="83">
        <v>14140</v>
      </c>
      <c r="X65" s="83">
        <v>14140</v>
      </c>
      <c r="Y65" s="83">
        <v>14140</v>
      </c>
      <c r="AE65" s="83">
        <v>3360</v>
      </c>
      <c r="CB65" s="83">
        <v>750</v>
      </c>
      <c r="CU65" s="83">
        <v>16</v>
      </c>
      <c r="CV65" s="83">
        <v>0</v>
      </c>
      <c r="CW65" s="83">
        <v>9380</v>
      </c>
      <c r="CX65" s="74" cm="1">
        <f t="array" ref="CX65">SUMPRODUCT(D65:CT65/$D$3:$CT$3)</f>
        <v>155.29636249318156</v>
      </c>
      <c r="CY65" s="74">
        <f t="shared" si="1"/>
        <v>1.6556115404390357</v>
      </c>
    </row>
    <row r="66" spans="2:103" x14ac:dyDescent="0.25">
      <c r="B66" s="83">
        <v>1126</v>
      </c>
      <c r="C66" s="106" t="s">
        <v>458</v>
      </c>
      <c r="BA66" s="83">
        <v>170</v>
      </c>
      <c r="CL66" s="83">
        <v>19.649999999999999</v>
      </c>
      <c r="CP66" s="83">
        <v>148.66999999999999</v>
      </c>
      <c r="CU66" s="83">
        <v>16</v>
      </c>
      <c r="CV66" s="83">
        <v>0</v>
      </c>
      <c r="CW66" s="83">
        <v>7760</v>
      </c>
      <c r="CX66" s="74" cm="1">
        <f t="array" ref="CX66">SUMPRODUCT(D66:CT66/$D$3:$CT$3)</f>
        <v>130.88384833557245</v>
      </c>
      <c r="CY66" s="74">
        <f t="shared" si="1"/>
        <v>1.6866475300975829</v>
      </c>
    </row>
    <row r="67" spans="2:103" x14ac:dyDescent="0.25">
      <c r="B67" s="83">
        <v>1129</v>
      </c>
      <c r="C67" s="106" t="s">
        <v>472</v>
      </c>
      <c r="Q67" s="83">
        <v>60</v>
      </c>
      <c r="AK67" s="83">
        <v>540</v>
      </c>
      <c r="BF67" s="83">
        <v>300</v>
      </c>
      <c r="CF67" s="83">
        <v>1620</v>
      </c>
      <c r="CG67" s="83">
        <v>9914</v>
      </c>
      <c r="CH67" s="83">
        <v>4348</v>
      </c>
      <c r="CJ67" s="83">
        <v>115</v>
      </c>
      <c r="CK67" s="83">
        <v>13986</v>
      </c>
      <c r="CU67" s="83">
        <v>16</v>
      </c>
      <c r="CV67" s="83">
        <v>0</v>
      </c>
      <c r="CW67" s="83">
        <v>8840</v>
      </c>
      <c r="CX67" s="74" cm="1">
        <f t="array" ref="CX67">SUMPRODUCT(D67:CT67/$D$3:$CT$3)</f>
        <v>132.99189001160366</v>
      </c>
      <c r="CY67" s="74">
        <f t="shared" si="1"/>
        <v>1.5044331449276431</v>
      </c>
    </row>
    <row r="68" spans="2:103" x14ac:dyDescent="0.25">
      <c r="B68" s="83">
        <v>1137</v>
      </c>
      <c r="C68" s="106" t="s">
        <v>464</v>
      </c>
      <c r="S68" s="83">
        <v>1430</v>
      </c>
      <c r="AY68" s="83">
        <v>280</v>
      </c>
      <c r="BB68" s="83">
        <v>200</v>
      </c>
      <c r="BM68" s="83">
        <v>90</v>
      </c>
      <c r="BO68" s="83">
        <v>6</v>
      </c>
      <c r="BU68" s="83">
        <v>1592</v>
      </c>
      <c r="CH68" s="83">
        <v>3103</v>
      </c>
      <c r="CK68" s="83">
        <v>2182</v>
      </c>
      <c r="CL68" s="83">
        <v>2.31</v>
      </c>
      <c r="CO68" s="83">
        <v>263</v>
      </c>
      <c r="CU68" s="83">
        <v>16</v>
      </c>
      <c r="CV68" s="83">
        <v>0</v>
      </c>
      <c r="CW68" s="83">
        <v>7580</v>
      </c>
      <c r="CX68" s="74" cm="1">
        <f t="array" ref="CX68">SUMPRODUCT(D68:CT68/$D$3:$CT$3)</f>
        <v>114.64712819561817</v>
      </c>
      <c r="CY68" s="74">
        <f t="shared" si="1"/>
        <v>1.5124950949289995</v>
      </c>
    </row>
    <row r="69" spans="2:103" x14ac:dyDescent="0.25">
      <c r="B69" s="83">
        <v>1130</v>
      </c>
      <c r="C69" s="106" t="s">
        <v>461</v>
      </c>
      <c r="S69" s="83">
        <v>120</v>
      </c>
      <c r="T69" s="83">
        <v>30</v>
      </c>
      <c r="BL69" s="83">
        <v>550</v>
      </c>
      <c r="BQ69" s="83">
        <v>150</v>
      </c>
      <c r="BS69" s="83">
        <v>65</v>
      </c>
      <c r="CR69" s="83">
        <v>3515</v>
      </c>
      <c r="CU69" s="83">
        <v>16</v>
      </c>
      <c r="CV69" s="83">
        <v>0</v>
      </c>
      <c r="CW69" s="83">
        <v>7130</v>
      </c>
      <c r="CX69" s="74" cm="1">
        <f t="array" ref="CX69">SUMPRODUCT(D69:CT69/$D$3:$CT$3)</f>
        <v>113.54376212205349</v>
      </c>
      <c r="CY69" s="74">
        <f t="shared" ref="CY69:CY102" si="9">CX69/CW69*100</f>
        <v>1.592479132146613</v>
      </c>
    </row>
    <row r="70" spans="2:103" x14ac:dyDescent="0.25">
      <c r="B70" s="83">
        <v>1131</v>
      </c>
      <c r="C70" s="106" t="s">
        <v>473</v>
      </c>
      <c r="N70" s="83">
        <v>1700</v>
      </c>
      <c r="S70" s="83">
        <v>880</v>
      </c>
      <c r="T70" s="83">
        <v>510</v>
      </c>
      <c r="BL70" s="83">
        <v>500</v>
      </c>
      <c r="BM70" s="83">
        <v>1040</v>
      </c>
      <c r="BP70" s="83">
        <v>205</v>
      </c>
      <c r="BR70" s="83">
        <v>2700</v>
      </c>
      <c r="BS70" s="83">
        <v>545</v>
      </c>
      <c r="CF70" s="83">
        <v>450</v>
      </c>
      <c r="CH70" s="83">
        <v>255</v>
      </c>
      <c r="CK70" s="83">
        <v>500</v>
      </c>
      <c r="CQ70" s="83">
        <v>1205</v>
      </c>
      <c r="CU70" s="83">
        <v>16</v>
      </c>
      <c r="CV70" s="83">
        <v>0</v>
      </c>
      <c r="CW70" s="83">
        <v>7400</v>
      </c>
      <c r="CX70" s="74" cm="1">
        <f t="array" ref="CX70">SUMPRODUCT(D70:CT70/$D$3:$CT$3)</f>
        <v>114.33218120131878</v>
      </c>
      <c r="CY70" s="74">
        <f t="shared" si="9"/>
        <v>1.545029475693497</v>
      </c>
    </row>
    <row r="71" spans="2:103" x14ac:dyDescent="0.25">
      <c r="B71" s="83">
        <v>1134</v>
      </c>
      <c r="C71" s="106" t="s">
        <v>474</v>
      </c>
      <c r="BN71" s="83">
        <v>11196</v>
      </c>
      <c r="BZ71" s="83">
        <v>1982</v>
      </c>
      <c r="CB71" s="83">
        <v>3945</v>
      </c>
      <c r="CC71" s="83">
        <v>850</v>
      </c>
      <c r="CU71" s="83">
        <v>12</v>
      </c>
      <c r="CV71" s="83">
        <v>0</v>
      </c>
      <c r="CW71" s="83">
        <v>6720</v>
      </c>
      <c r="CX71" s="74" cm="1">
        <f t="array" ref="CX71">SUMPRODUCT(D71:CT71/$D$3:$CT$3)</f>
        <v>114.38273109243697</v>
      </c>
      <c r="CY71" s="74">
        <f t="shared" si="9"/>
        <v>1.7021239745898358</v>
      </c>
    </row>
    <row r="72" spans="2:103" x14ac:dyDescent="0.25">
      <c r="B72" s="83">
        <v>1141</v>
      </c>
      <c r="C72" s="106" t="s">
        <v>466</v>
      </c>
      <c r="Q72" s="83">
        <v>270</v>
      </c>
      <c r="BH72" s="83">
        <v>1550</v>
      </c>
      <c r="CG72" s="83">
        <v>8897</v>
      </c>
      <c r="CH72" s="83">
        <v>6069</v>
      </c>
      <c r="CK72" s="83">
        <v>13031</v>
      </c>
      <c r="CU72" s="83">
        <v>16</v>
      </c>
      <c r="CV72" s="83">
        <v>0</v>
      </c>
      <c r="CW72" s="83">
        <v>8840</v>
      </c>
      <c r="CX72" s="74" cm="1">
        <f t="array" ref="CX72">SUMPRODUCT(D72:CT72/$D$3:$CT$3)</f>
        <v>144.25057440723739</v>
      </c>
      <c r="CY72" s="74">
        <f t="shared" si="9"/>
        <v>1.6317938281361695</v>
      </c>
    </row>
    <row r="73" spans="2:103" x14ac:dyDescent="0.25">
      <c r="B73" s="83">
        <v>1140</v>
      </c>
      <c r="C73" s="106" t="s">
        <v>465</v>
      </c>
      <c r="U73" s="138"/>
      <c r="X73" s="138"/>
      <c r="AH73" s="83">
        <v>16</v>
      </c>
      <c r="BE73" s="138"/>
      <c r="BM73" s="83">
        <v>60</v>
      </c>
      <c r="BP73" s="138"/>
      <c r="BX73" s="138"/>
      <c r="BY73" s="138"/>
      <c r="CN73" s="83">
        <v>65</v>
      </c>
      <c r="CU73" s="83">
        <v>1</v>
      </c>
      <c r="CV73" s="83">
        <v>0</v>
      </c>
      <c r="CW73" s="83">
        <v>440</v>
      </c>
      <c r="CX73" s="74" cm="1">
        <f t="array" ref="CX73">SUMPRODUCT(D73:CT73/$D$3:$CT$3)</f>
        <v>8.3380411570568818</v>
      </c>
      <c r="CY73" s="74">
        <f t="shared" si="9"/>
        <v>1.895009353876564</v>
      </c>
    </row>
    <row r="74" spans="2:103" x14ac:dyDescent="0.25">
      <c r="B74" s="83">
        <v>1142</v>
      </c>
      <c r="C74" s="106" t="s">
        <v>467</v>
      </c>
      <c r="Q74" s="83">
        <v>30</v>
      </c>
      <c r="BI74" s="83">
        <v>748</v>
      </c>
      <c r="CH74" s="83">
        <v>114</v>
      </c>
      <c r="CK74" s="83">
        <v>318</v>
      </c>
      <c r="CU74" s="83">
        <v>16</v>
      </c>
      <c r="CV74" s="83">
        <v>0</v>
      </c>
      <c r="CW74" s="83">
        <v>9380</v>
      </c>
      <c r="CX74" s="74" cm="1">
        <f t="array" ref="CX74">SUMPRODUCT(D74:CT74/$D$3:$CT$3)</f>
        <v>151.59764332583717</v>
      </c>
      <c r="CY74" s="74">
        <f t="shared" si="9"/>
        <v>1.6161795663735306</v>
      </c>
    </row>
    <row r="75" spans="2:103" x14ac:dyDescent="0.25">
      <c r="B75" s="83">
        <v>1144</v>
      </c>
      <c r="C75" s="106" t="s">
        <v>468</v>
      </c>
      <c r="F75" s="83">
        <v>1335</v>
      </c>
      <c r="BZ75" s="83">
        <v>2957</v>
      </c>
      <c r="CA75" s="83">
        <v>992</v>
      </c>
      <c r="CB75" s="83">
        <v>6701</v>
      </c>
      <c r="CC75" s="83">
        <v>3749</v>
      </c>
      <c r="CD75" s="83">
        <v>267</v>
      </c>
      <c r="CU75" s="83">
        <v>17</v>
      </c>
      <c r="CV75" s="83">
        <v>0</v>
      </c>
      <c r="CW75" s="83">
        <v>8510</v>
      </c>
      <c r="CX75" s="74" cm="1">
        <f t="array" ref="CX75">SUMPRODUCT(D75:CT75/$D$3:$CT$3)</f>
        <v>144.9254411764706</v>
      </c>
      <c r="CY75" s="74">
        <f t="shared" si="9"/>
        <v>1.7030016589479506</v>
      </c>
    </row>
    <row r="76" spans="2:103" x14ac:dyDescent="0.25">
      <c r="B76" s="83">
        <v>1145</v>
      </c>
      <c r="C76" s="106" t="s">
        <v>469</v>
      </c>
      <c r="S76" s="83">
        <v>150</v>
      </c>
      <c r="T76" s="83">
        <v>60</v>
      </c>
      <c r="AK76" s="83">
        <v>380</v>
      </c>
      <c r="BL76" s="83">
        <v>550</v>
      </c>
      <c r="BM76" s="83">
        <v>35</v>
      </c>
      <c r="BQ76" s="83">
        <v>150</v>
      </c>
      <c r="BR76" s="83">
        <v>600</v>
      </c>
      <c r="CG76" s="83">
        <v>208</v>
      </c>
      <c r="CR76" s="83">
        <v>3410</v>
      </c>
      <c r="CU76" s="83">
        <v>16</v>
      </c>
      <c r="CV76" s="83">
        <v>0</v>
      </c>
      <c r="CW76" s="83">
        <v>7580</v>
      </c>
      <c r="CX76" s="74" cm="1">
        <f t="array" ref="CX76">SUMPRODUCT(D76:CT76/$D$3:$CT$3)</f>
        <v>119.37744906217607</v>
      </c>
      <c r="CY76" s="74">
        <f t="shared" si="9"/>
        <v>1.5749003834060169</v>
      </c>
    </row>
    <row r="77" spans="2:103" x14ac:dyDescent="0.25">
      <c r="B77" s="83">
        <v>1146</v>
      </c>
      <c r="C77" s="106" t="s">
        <v>475</v>
      </c>
      <c r="Q77" s="83">
        <v>30</v>
      </c>
      <c r="BI77" s="83">
        <v>606</v>
      </c>
      <c r="CH77" s="83">
        <v>210</v>
      </c>
      <c r="CU77" s="83">
        <v>14</v>
      </c>
      <c r="CV77" s="83">
        <v>0</v>
      </c>
      <c r="CW77" s="83">
        <v>7640</v>
      </c>
      <c r="CX77" s="74" cm="1">
        <f t="array" ref="CX77">SUMPRODUCT(D77:CT77/$D$3:$CT$3)</f>
        <v>123.16853146853147</v>
      </c>
      <c r="CY77" s="74">
        <f t="shared" si="9"/>
        <v>1.6121535532530298</v>
      </c>
    </row>
    <row r="78" spans="2:103" x14ac:dyDescent="0.25">
      <c r="B78" s="83">
        <v>1156</v>
      </c>
      <c r="C78" s="106" t="s">
        <v>490</v>
      </c>
      <c r="S78" s="83">
        <v>180</v>
      </c>
      <c r="AX78" s="83">
        <v>27</v>
      </c>
      <c r="BC78" s="83">
        <v>83</v>
      </c>
      <c r="BH78" s="83">
        <v>820</v>
      </c>
      <c r="BO78" s="83">
        <v>393</v>
      </c>
      <c r="CF78" s="83">
        <v>993</v>
      </c>
      <c r="CH78" s="83">
        <v>2777</v>
      </c>
      <c r="CK78" s="83">
        <v>1953</v>
      </c>
      <c r="CO78" s="83">
        <v>310</v>
      </c>
      <c r="CU78" s="83">
        <v>17</v>
      </c>
      <c r="CV78" s="83">
        <v>0</v>
      </c>
      <c r="CW78" s="83">
        <v>8560</v>
      </c>
      <c r="CX78" s="74" cm="1">
        <f t="array" ref="CX78">SUMPRODUCT(D78:CT78/$D$3:$CT$3)</f>
        <v>123.70742055784295</v>
      </c>
      <c r="CY78" s="74">
        <f t="shared" si="9"/>
        <v>1.4451801467037728</v>
      </c>
    </row>
    <row r="79" spans="2:103" x14ac:dyDescent="0.25">
      <c r="B79" s="83">
        <v>1159</v>
      </c>
      <c r="C79" s="106" t="s">
        <v>494</v>
      </c>
      <c r="U79" s="83">
        <v>18260</v>
      </c>
      <c r="V79" s="83">
        <v>3700</v>
      </c>
      <c r="W79" s="83">
        <v>2132</v>
      </c>
      <c r="X79" s="83">
        <v>2132</v>
      </c>
      <c r="Y79" s="83">
        <v>2132</v>
      </c>
      <c r="Z79" s="83">
        <v>6230</v>
      </c>
      <c r="AA79" s="83">
        <v>7635</v>
      </c>
      <c r="AD79" s="83">
        <v>6720</v>
      </c>
      <c r="AE79" s="83">
        <v>1680</v>
      </c>
      <c r="AL79" s="83">
        <v>60</v>
      </c>
      <c r="BD79" s="83">
        <v>6000</v>
      </c>
      <c r="CU79" s="83">
        <v>17</v>
      </c>
      <c r="CV79" s="83">
        <v>0</v>
      </c>
      <c r="CW79" s="83">
        <v>9820</v>
      </c>
      <c r="CX79" s="74" cm="1">
        <f t="array" ref="CX79">SUMPRODUCT(D79:CT79/$D$3:$CT$3)</f>
        <v>163.95168984418078</v>
      </c>
      <c r="CY79" s="74">
        <f t="shared" si="9"/>
        <v>1.6695691430160975</v>
      </c>
    </row>
    <row r="80" spans="2:103" x14ac:dyDescent="0.25">
      <c r="B80" s="83">
        <v>1136</v>
      </c>
      <c r="C80" s="106" t="s">
        <v>493</v>
      </c>
      <c r="S80" s="83">
        <v>1240</v>
      </c>
      <c r="BC80" s="83">
        <v>184</v>
      </c>
      <c r="BO80" s="83">
        <v>462</v>
      </c>
      <c r="BU80" s="83">
        <v>1192</v>
      </c>
      <c r="CO80" s="83">
        <v>72</v>
      </c>
      <c r="CU80" s="83">
        <v>17</v>
      </c>
      <c r="CV80" s="83">
        <v>0</v>
      </c>
      <c r="CW80" s="83">
        <v>8200</v>
      </c>
      <c r="CX80" s="74" cm="1">
        <f t="array" ref="CX80">SUMPRODUCT(D80:CT80/$D$3:$CT$3)</f>
        <v>132.83868546343191</v>
      </c>
      <c r="CY80" s="74">
        <f t="shared" si="9"/>
        <v>1.6199839690662428</v>
      </c>
    </row>
    <row r="81" spans="2:103" x14ac:dyDescent="0.25">
      <c r="B81" s="83">
        <v>1161</v>
      </c>
      <c r="C81" s="106" t="s">
        <v>530</v>
      </c>
      <c r="S81" s="83">
        <v>240</v>
      </c>
      <c r="AP81" s="83">
        <v>530</v>
      </c>
      <c r="BC81" s="83">
        <v>176</v>
      </c>
      <c r="BO81" s="83">
        <v>611</v>
      </c>
      <c r="CU81" s="83">
        <v>15</v>
      </c>
      <c r="CV81" s="83">
        <v>0</v>
      </c>
      <c r="CW81" s="83">
        <v>7140</v>
      </c>
      <c r="CX81" s="74" cm="1">
        <f t="array" ref="CX81">SUMPRODUCT(D81:CT81/$D$3:$CT$3)</f>
        <v>115.65826330532212</v>
      </c>
      <c r="CY81" s="74">
        <f t="shared" si="9"/>
        <v>1.6198636317272006</v>
      </c>
    </row>
    <row r="82" spans="2:103" x14ac:dyDescent="0.25">
      <c r="B82" s="83">
        <v>1160</v>
      </c>
      <c r="C82" s="106" t="s">
        <v>531</v>
      </c>
      <c r="Q82" s="83">
        <v>30</v>
      </c>
      <c r="AK82" s="83">
        <v>30</v>
      </c>
      <c r="BI82" s="83">
        <v>786</v>
      </c>
      <c r="CH82" s="83">
        <v>272</v>
      </c>
      <c r="CU82" s="83">
        <v>17</v>
      </c>
      <c r="CV82" s="83">
        <v>0</v>
      </c>
      <c r="CW82" s="83">
        <v>9820</v>
      </c>
      <c r="CX82" s="74" cm="1">
        <f t="array" ref="CX82">SUMPRODUCT(D82:CT82/$D$3:$CT$3)</f>
        <v>160.10209790209788</v>
      </c>
      <c r="CY82" s="74">
        <f t="shared" si="9"/>
        <v>1.6303675957443777</v>
      </c>
    </row>
    <row r="83" spans="2:103" x14ac:dyDescent="0.25">
      <c r="B83" s="83">
        <v>1165</v>
      </c>
      <c r="C83" s="106" t="s">
        <v>532</v>
      </c>
      <c r="Q83" s="83">
        <v>90</v>
      </c>
      <c r="BI83" s="83">
        <v>796</v>
      </c>
      <c r="CH83" s="83">
        <v>86</v>
      </c>
      <c r="CK83" s="83">
        <v>363</v>
      </c>
      <c r="CU83" s="83">
        <v>17</v>
      </c>
      <c r="CV83" s="83">
        <v>0</v>
      </c>
      <c r="CW83" s="83">
        <v>10000</v>
      </c>
      <c r="CX83" s="74" cm="1">
        <f t="array" ref="CX83">SUMPRODUCT(D83:CT83/$D$3:$CT$3)</f>
        <v>162.10095807276423</v>
      </c>
      <c r="CY83" s="74">
        <f t="shared" si="9"/>
        <v>1.6210095807276423</v>
      </c>
    </row>
    <row r="84" spans="2:103" x14ac:dyDescent="0.25">
      <c r="B84" s="83">
        <v>1163</v>
      </c>
      <c r="C84" s="106" t="s">
        <v>533</v>
      </c>
      <c r="BA84" s="83">
        <v>120</v>
      </c>
      <c r="BM84" s="83">
        <v>150</v>
      </c>
      <c r="CL84" s="83">
        <v>81.400000000000006</v>
      </c>
      <c r="CP84" s="83">
        <v>47.46</v>
      </c>
      <c r="CU84" s="83">
        <v>17</v>
      </c>
      <c r="CV84" s="83">
        <v>0</v>
      </c>
      <c r="CW84" s="83">
        <v>8380</v>
      </c>
      <c r="CX84" s="74" cm="1">
        <f t="array" ref="CX84">SUMPRODUCT(D84:CT84/$D$3:$CT$3)</f>
        <v>145.39581524654929</v>
      </c>
      <c r="CY84" s="74">
        <f t="shared" si="9"/>
        <v>1.735033594827557</v>
      </c>
    </row>
    <row r="85" spans="2:103" x14ac:dyDescent="0.25">
      <c r="B85" s="83">
        <v>1166</v>
      </c>
      <c r="C85" s="106" t="s">
        <v>534</v>
      </c>
      <c r="K85" s="83">
        <v>153</v>
      </c>
      <c r="S85" s="83">
        <v>350</v>
      </c>
      <c r="T85" s="83">
        <v>180</v>
      </c>
      <c r="AV85" s="83">
        <v>205</v>
      </c>
      <c r="BM85" s="83">
        <v>485</v>
      </c>
      <c r="BP85" s="83">
        <v>1541</v>
      </c>
      <c r="BS85" s="83">
        <v>760</v>
      </c>
      <c r="CU85" s="83">
        <v>17</v>
      </c>
      <c r="CV85" s="83">
        <v>0</v>
      </c>
      <c r="CW85" s="83">
        <v>8200</v>
      </c>
      <c r="CX85" s="74" cm="1">
        <f t="array" ref="CX85">SUMPRODUCT(D85:CT85/$D$3:$CT$3)</f>
        <v>113.46600686789327</v>
      </c>
      <c r="CY85" s="74">
        <f t="shared" si="9"/>
        <v>1.3837317910718692</v>
      </c>
    </row>
    <row r="86" spans="2:103" x14ac:dyDescent="0.25">
      <c r="B86" s="83">
        <v>1171</v>
      </c>
      <c r="C86" s="106" t="s">
        <v>561</v>
      </c>
      <c r="L86" s="83">
        <v>291</v>
      </c>
      <c r="Q86" s="83">
        <v>30</v>
      </c>
      <c r="AM86" s="83">
        <v>240</v>
      </c>
      <c r="BF86" s="83">
        <v>30</v>
      </c>
      <c r="BI86" s="83">
        <v>270</v>
      </c>
      <c r="CG86" s="83">
        <v>852</v>
      </c>
      <c r="CH86" s="83">
        <v>162</v>
      </c>
      <c r="CK86" s="83">
        <v>5130</v>
      </c>
      <c r="CU86" s="83">
        <v>16</v>
      </c>
      <c r="CV86" s="83">
        <v>0</v>
      </c>
      <c r="CW86" s="83">
        <v>9200</v>
      </c>
      <c r="CX86" s="74" cm="1">
        <f t="array" ref="CX86">SUMPRODUCT(D86:CT86/$D$3:$CT$3)</f>
        <v>86.227109862151323</v>
      </c>
      <c r="CY86" s="74">
        <f t="shared" si="9"/>
        <v>0.93725119415381875</v>
      </c>
    </row>
    <row r="87" spans="2:103" x14ac:dyDescent="0.25">
      <c r="B87" s="83">
        <v>1170</v>
      </c>
      <c r="C87" s="106" t="s">
        <v>562</v>
      </c>
      <c r="D87" s="83">
        <v>2097</v>
      </c>
      <c r="L87" s="83">
        <v>370</v>
      </c>
      <c r="BI87" s="83">
        <v>19</v>
      </c>
      <c r="CG87" s="83">
        <v>3095</v>
      </c>
      <c r="CO87" s="83">
        <v>20</v>
      </c>
      <c r="CU87" s="83">
        <v>17</v>
      </c>
      <c r="CV87" s="83">
        <v>0</v>
      </c>
      <c r="CW87" s="83">
        <v>9680</v>
      </c>
      <c r="CX87" s="74" cm="1">
        <f t="array" ref="CX87">SUMPRODUCT(D87:CT87/$D$3:$CT$3)</f>
        <v>82.131271810324478</v>
      </c>
      <c r="CY87" s="74">
        <f t="shared" si="9"/>
        <v>0.84846355175955035</v>
      </c>
    </row>
    <row r="88" spans="2:103" x14ac:dyDescent="0.25">
      <c r="B88" s="83">
        <v>1173</v>
      </c>
      <c r="C88" s="83" t="s">
        <v>540</v>
      </c>
      <c r="I88" s="83">
        <v>90</v>
      </c>
      <c r="S88" s="83">
        <v>90</v>
      </c>
      <c r="T88" s="83">
        <v>30</v>
      </c>
      <c r="AK88" s="83">
        <v>180</v>
      </c>
      <c r="AM88" s="83">
        <v>240</v>
      </c>
      <c r="BL88" s="83">
        <v>1196</v>
      </c>
      <c r="BM88" s="83">
        <v>615</v>
      </c>
      <c r="BS88" s="83">
        <v>625</v>
      </c>
      <c r="CF88" s="83">
        <v>750</v>
      </c>
      <c r="CG88" s="83">
        <v>4782</v>
      </c>
      <c r="CH88" s="83">
        <v>650</v>
      </c>
      <c r="CI88" s="83">
        <v>360</v>
      </c>
      <c r="CK88" s="83">
        <v>3979</v>
      </c>
      <c r="CU88" s="83">
        <v>17</v>
      </c>
      <c r="CV88" s="83">
        <v>0</v>
      </c>
      <c r="CW88" s="83">
        <v>8380</v>
      </c>
      <c r="CX88" s="74" cm="1">
        <f t="array" ref="CX88">SUMPRODUCT(D88:CT88/$D$3:$CT$3)</f>
        <v>102.40374342147538</v>
      </c>
      <c r="CY88" s="74">
        <f t="shared" si="9"/>
        <v>1.2220017114734532</v>
      </c>
    </row>
    <row r="89" spans="2:103" x14ac:dyDescent="0.25">
      <c r="B89" s="83">
        <v>1182</v>
      </c>
      <c r="C89" s="83" t="s">
        <v>563</v>
      </c>
      <c r="Q89" s="83">
        <v>330</v>
      </c>
      <c r="AK89" s="83">
        <v>30</v>
      </c>
      <c r="BF89" s="83">
        <v>620</v>
      </c>
      <c r="BH89" s="83">
        <v>3495</v>
      </c>
      <c r="BJ89" s="83">
        <v>300</v>
      </c>
      <c r="CA89" s="83">
        <v>595</v>
      </c>
      <c r="CB89" s="83">
        <v>1651</v>
      </c>
      <c r="CG89" s="83">
        <v>2283</v>
      </c>
      <c r="CK89" s="83">
        <v>3402</v>
      </c>
      <c r="CU89" s="83">
        <v>14</v>
      </c>
      <c r="CV89" s="83">
        <v>0</v>
      </c>
      <c r="CW89" s="83">
        <v>8050</v>
      </c>
      <c r="CX89" s="74" cm="1">
        <f t="array" ref="CX89">SUMPRODUCT(D89:CT89/$D$3:$CT$3)</f>
        <v>117.24568942366903</v>
      </c>
      <c r="CY89" s="74">
        <f t="shared" si="9"/>
        <v>1.456468191598373</v>
      </c>
    </row>
    <row r="90" spans="2:103" x14ac:dyDescent="0.25">
      <c r="B90" s="83">
        <v>1180</v>
      </c>
      <c r="C90" s="83" t="s">
        <v>564</v>
      </c>
      <c r="Q90" s="83">
        <v>30</v>
      </c>
      <c r="BF90" s="83">
        <v>1500</v>
      </c>
      <c r="CG90" s="83">
        <v>5773</v>
      </c>
      <c r="CH90" s="83">
        <v>4367</v>
      </c>
      <c r="CJ90" s="83">
        <v>110</v>
      </c>
      <c r="CK90" s="83">
        <v>9226</v>
      </c>
      <c r="CU90" s="83">
        <v>17</v>
      </c>
      <c r="CV90" s="83">
        <v>0</v>
      </c>
      <c r="CW90" s="83">
        <v>9100</v>
      </c>
      <c r="CX90" s="74" cm="1">
        <f t="array" ref="CX90">SUMPRODUCT(D90:CT90/$D$3:$CT$3)</f>
        <v>105.94818846718626</v>
      </c>
      <c r="CY90" s="74">
        <f t="shared" si="9"/>
        <v>1.1642658073317169</v>
      </c>
    </row>
    <row r="91" spans="2:103" x14ac:dyDescent="0.25">
      <c r="B91" s="83">
        <v>1185</v>
      </c>
      <c r="C91" s="83" t="s">
        <v>543</v>
      </c>
      <c r="AK91" s="83">
        <v>30</v>
      </c>
      <c r="BH91" s="83">
        <v>1180</v>
      </c>
      <c r="BZ91" s="83">
        <v>2692</v>
      </c>
      <c r="CA91" s="83">
        <v>1116</v>
      </c>
      <c r="CB91" s="83">
        <v>7502</v>
      </c>
      <c r="CC91" s="83">
        <v>2732</v>
      </c>
      <c r="CU91" s="83">
        <v>17</v>
      </c>
      <c r="CV91" s="83">
        <v>0</v>
      </c>
      <c r="CW91" s="83">
        <v>9430</v>
      </c>
      <c r="CX91" s="74" cm="1">
        <f t="array" ref="CX91">SUMPRODUCT(D91:CT91/$D$3:$CT$3)</f>
        <v>149.64759103641455</v>
      </c>
      <c r="CY91" s="74">
        <f t="shared" si="9"/>
        <v>1.5869309759959125</v>
      </c>
    </row>
    <row r="92" spans="2:103" x14ac:dyDescent="0.25">
      <c r="B92" s="83">
        <v>1190</v>
      </c>
      <c r="C92" s="83" t="s">
        <v>545</v>
      </c>
      <c r="L92" s="83">
        <v>291</v>
      </c>
      <c r="S92" s="83">
        <v>60</v>
      </c>
      <c r="AI92" s="83">
        <v>74</v>
      </c>
      <c r="AO92" s="83">
        <v>5</v>
      </c>
      <c r="AP92" s="83">
        <v>150</v>
      </c>
      <c r="AR92" s="83">
        <v>150</v>
      </c>
      <c r="AS92" s="83">
        <v>106</v>
      </c>
      <c r="BH92" s="83">
        <v>1360</v>
      </c>
      <c r="BO92" s="83">
        <v>102</v>
      </c>
      <c r="CG92" s="83">
        <v>3815</v>
      </c>
      <c r="CH92" s="83">
        <v>3079</v>
      </c>
      <c r="CK92" s="83">
        <v>1772</v>
      </c>
      <c r="CU92" s="83">
        <v>17</v>
      </c>
      <c r="CV92" s="83">
        <v>0</v>
      </c>
      <c r="CW92" s="83">
        <v>8560</v>
      </c>
      <c r="CX92" s="74" cm="1">
        <f t="array" ref="CX92">SUMPRODUCT(D92:CT92/$D$3:$CT$3)</f>
        <v>99.626125562120933</v>
      </c>
      <c r="CY92" s="74">
        <f t="shared" si="9"/>
        <v>1.163856607034123</v>
      </c>
    </row>
    <row r="93" spans="2:103" x14ac:dyDescent="0.25">
      <c r="B93" s="83">
        <v>1189</v>
      </c>
      <c r="C93" s="83" t="s">
        <v>565</v>
      </c>
      <c r="CG93" s="83">
        <v>3265</v>
      </c>
      <c r="CK93" s="83">
        <v>1225</v>
      </c>
      <c r="CU93" s="83">
        <v>3</v>
      </c>
      <c r="CV93" s="83">
        <v>0</v>
      </c>
      <c r="CW93" s="83">
        <v>1500</v>
      </c>
      <c r="CX93" s="74" cm="1">
        <f t="array" ref="CX93">SUMPRODUCT(D93:CT93/$D$3:$CT$3)</f>
        <v>18.395353270077941</v>
      </c>
      <c r="CY93" s="74">
        <f t="shared" si="9"/>
        <v>1.2263568846718627</v>
      </c>
    </row>
    <row r="94" spans="2:103" x14ac:dyDescent="0.25">
      <c r="B94" s="83">
        <v>1187</v>
      </c>
      <c r="C94" s="83" t="s">
        <v>544</v>
      </c>
      <c r="BZ94" s="83">
        <v>189</v>
      </c>
      <c r="CA94" s="83">
        <v>1116</v>
      </c>
      <c r="CB94" s="83">
        <v>7837</v>
      </c>
      <c r="CC94" s="83">
        <v>2920</v>
      </c>
      <c r="CH94" s="83">
        <v>1258</v>
      </c>
      <c r="CK94" s="83">
        <v>1000</v>
      </c>
      <c r="CU94" s="83">
        <v>17</v>
      </c>
      <c r="CV94" s="83">
        <v>0</v>
      </c>
      <c r="CW94" s="83">
        <v>8750</v>
      </c>
      <c r="CX94" s="74" cm="1">
        <f t="array" ref="CX94">SUMPRODUCT(D94:CT94/$D$3:$CT$3)</f>
        <v>135.66396361606778</v>
      </c>
      <c r="CY94" s="74">
        <f t="shared" si="9"/>
        <v>1.550445298469346</v>
      </c>
    </row>
    <row r="95" spans="2:103" x14ac:dyDescent="0.25">
      <c r="B95" s="83">
        <v>1168</v>
      </c>
      <c r="C95" s="83" t="s">
        <v>588</v>
      </c>
      <c r="S95" s="83">
        <v>1020</v>
      </c>
      <c r="T95" s="83">
        <v>530</v>
      </c>
      <c r="BL95" s="83">
        <v>2394</v>
      </c>
      <c r="CU95" s="83">
        <v>11</v>
      </c>
      <c r="CV95" s="83">
        <v>0</v>
      </c>
      <c r="CW95" s="83">
        <v>4840</v>
      </c>
      <c r="CX95" s="74" cm="1">
        <f t="array" ref="CX95">SUMPRODUCT(D95:CT95/$D$3:$CT$3)</f>
        <v>65.079234972677597</v>
      </c>
      <c r="CY95" s="74">
        <f t="shared" si="9"/>
        <v>1.3446122928239173</v>
      </c>
    </row>
    <row r="96" spans="2:103" x14ac:dyDescent="0.25">
      <c r="B96" s="83">
        <v>1192</v>
      </c>
      <c r="C96" s="83" t="s">
        <v>571</v>
      </c>
      <c r="D96" s="83">
        <v>1732</v>
      </c>
      <c r="CU96" s="83">
        <v>10</v>
      </c>
      <c r="CV96" s="83">
        <v>0</v>
      </c>
      <c r="CW96" s="83">
        <v>6020</v>
      </c>
      <c r="CX96" s="74" cm="1">
        <f t="array" ref="CX96">SUMPRODUCT(D96:CT96/$D$3:$CT$3)</f>
        <v>40.279069767441861</v>
      </c>
      <c r="CY96" s="74">
        <f t="shared" si="9"/>
        <v>0.66908753766514717</v>
      </c>
    </row>
    <row r="97" spans="2:103" x14ac:dyDescent="0.25">
      <c r="B97" s="83">
        <v>1193</v>
      </c>
      <c r="C97" s="83" t="s">
        <v>572</v>
      </c>
      <c r="D97" s="83">
        <v>1692</v>
      </c>
      <c r="Q97" s="83">
        <v>440</v>
      </c>
      <c r="CU97" s="83">
        <v>11</v>
      </c>
      <c r="CV97" s="83">
        <v>0</v>
      </c>
      <c r="CW97" s="83">
        <v>6490</v>
      </c>
      <c r="CX97" s="74" cm="1">
        <f t="array" ref="CX97">SUMPRODUCT(D97:CT97/$D$3:$CT$3)</f>
        <v>46.68217054263566</v>
      </c>
      <c r="CY97" s="74">
        <f t="shared" si="9"/>
        <v>0.71929384503290694</v>
      </c>
    </row>
    <row r="98" spans="2:103" x14ac:dyDescent="0.25">
      <c r="CX98" s="74" cm="1">
        <f t="array" ref="CX98">SUMPRODUCT(D98:CT98/$D$3:$CT$3)</f>
        <v>0</v>
      </c>
      <c r="CY98" s="74" t="e">
        <f t="shared" si="9"/>
        <v>#DIV/0!</v>
      </c>
    </row>
    <row r="99" spans="2:103" x14ac:dyDescent="0.25">
      <c r="CX99" s="74" cm="1">
        <f t="array" ref="CX99">SUMPRODUCT(D99:CT99/$D$3:$CT$3)</f>
        <v>0</v>
      </c>
      <c r="CY99" s="74" t="e">
        <f t="shared" si="9"/>
        <v>#DIV/0!</v>
      </c>
    </row>
    <row r="100" spans="2:103" x14ac:dyDescent="0.25">
      <c r="CX100" s="74" cm="1">
        <f t="array" ref="CX100">SUMPRODUCT(D100:CT100/$D$3:$CT$3)</f>
        <v>0</v>
      </c>
      <c r="CY100" s="74" t="e">
        <f t="shared" si="9"/>
        <v>#DIV/0!</v>
      </c>
    </row>
    <row r="101" spans="2:103" x14ac:dyDescent="0.25">
      <c r="CX101" s="74" cm="1">
        <f t="array" ref="CX101">SUMPRODUCT(D101:CT101/$D$3:$CT$3)</f>
        <v>0</v>
      </c>
      <c r="CY101" s="74" t="e">
        <f t="shared" si="9"/>
        <v>#DIV/0!</v>
      </c>
    </row>
    <row r="102" spans="2:103" x14ac:dyDescent="0.25">
      <c r="CX102" s="74" cm="1">
        <f t="array" ref="CX102">SUMPRODUCT(D102:CT102/$D$3:$CT$3)</f>
        <v>0</v>
      </c>
      <c r="CY102" s="74" t="e">
        <f t="shared" si="9"/>
        <v>#DIV/0!</v>
      </c>
    </row>
    <row r="103" spans="2:103" x14ac:dyDescent="0.25">
      <c r="CX103" s="74" cm="1">
        <f t="array" ref="CX103">SUMPRODUCT(D103:CT103/$D$3:$CT$3)</f>
        <v>0</v>
      </c>
    </row>
    <row r="104" spans="2:103" x14ac:dyDescent="0.25">
      <c r="CX104" s="74" cm="1">
        <f t="array" ref="CX104">SUMPRODUCT(D104:CT104/$D$3:$CT$3)</f>
        <v>0</v>
      </c>
    </row>
    <row r="105" spans="2:103" x14ac:dyDescent="0.25">
      <c r="CX105" s="74" cm="1">
        <f t="array" ref="CX105">SUMPRODUCT(D105:CT105/$D$3:$CT$3)</f>
        <v>0</v>
      </c>
    </row>
    <row r="106" spans="2:103" x14ac:dyDescent="0.25">
      <c r="CX106" s="74" cm="1">
        <f t="array" ref="CX106">SUMPRODUCT(D106:CT106/$D$3:$CT$3)</f>
        <v>0</v>
      </c>
    </row>
    <row r="107" spans="2:103" x14ac:dyDescent="0.25">
      <c r="CX107" s="74" cm="1">
        <f t="array" ref="CX107">SUMPRODUCT(D107:CT107/$D$3:$CT$3)</f>
        <v>0</v>
      </c>
    </row>
    <row r="108" spans="2:103" x14ac:dyDescent="0.25">
      <c r="CX108" s="74" cm="1">
        <f t="array" ref="CX108">SUMPRODUCT(D108:CT108/$D$3:$CT$3)</f>
        <v>0</v>
      </c>
    </row>
    <row r="109" spans="2:103" x14ac:dyDescent="0.25">
      <c r="CX109" s="74" cm="1">
        <f t="array" ref="CX109">SUMPRODUCT(D109:CT109/$D$3:$CT$3)</f>
        <v>0</v>
      </c>
    </row>
    <row r="110" spans="2:103" x14ac:dyDescent="0.25">
      <c r="CX110" s="74" cm="1">
        <f t="array" ref="CX110">SUMPRODUCT(D110:CT110/$D$3:$CT$3)</f>
        <v>0</v>
      </c>
    </row>
    <row r="111" spans="2:103" x14ac:dyDescent="0.25">
      <c r="CX111" s="74" cm="1">
        <f t="array" ref="CX111">SUMPRODUCT(D111:CT111/$D$3:$CT$3)</f>
        <v>0</v>
      </c>
    </row>
    <row r="112" spans="2:103" x14ac:dyDescent="0.25">
      <c r="CX112" s="74" cm="1">
        <f t="array" ref="CX112">SUMPRODUCT(D112:CT112/$D$3:$CT$3)</f>
        <v>0</v>
      </c>
    </row>
    <row r="113" spans="102:102" x14ac:dyDescent="0.25">
      <c r="CX113" s="74" cm="1">
        <f t="array" ref="CX113">SUMPRODUCT(D113:CT113/$D$3:$CT$3)</f>
        <v>0</v>
      </c>
    </row>
    <row r="114" spans="102:102" x14ac:dyDescent="0.25">
      <c r="CX114" s="74" cm="1">
        <f t="array" ref="CX114">SUMPRODUCT(D114:CT114/$D$3:$CT$3)</f>
        <v>0</v>
      </c>
    </row>
    <row r="115" spans="102:102" x14ac:dyDescent="0.25">
      <c r="CX115" s="74" cm="1">
        <f t="array" ref="CX115">SUMPRODUCT(D115:CT115/$D$3:$CT$3)</f>
        <v>0</v>
      </c>
    </row>
    <row r="116" spans="102:102" x14ac:dyDescent="0.25">
      <c r="CX116" s="74" cm="1">
        <f t="array" ref="CX116">SUMPRODUCT(D116:CT116/$D$3:$CT$3)</f>
        <v>0</v>
      </c>
    </row>
    <row r="117" spans="102:102" x14ac:dyDescent="0.25">
      <c r="CX117" s="74" cm="1">
        <f t="array" ref="CX117">SUMPRODUCT(D117:CT117/$D$3:$CT$3)</f>
        <v>0</v>
      </c>
    </row>
    <row r="118" spans="102:102" x14ac:dyDescent="0.25">
      <c r="CX118" s="74" cm="1">
        <f t="array" ref="CX118">SUMPRODUCT(D118:CT118/$D$3:$CT$3)</f>
        <v>0</v>
      </c>
    </row>
    <row r="119" spans="102:102" x14ac:dyDescent="0.25">
      <c r="CX119" s="74" cm="1">
        <f t="array" ref="CX119">SUMPRODUCT(D119:CT119/$D$3:$CT$3)</f>
        <v>0</v>
      </c>
    </row>
    <row r="120" spans="102:102" x14ac:dyDescent="0.25">
      <c r="CX120" s="74" cm="1">
        <f t="array" ref="CX120">SUMPRODUCT(D120:CT120/$D$3:$CT$3)</f>
        <v>0</v>
      </c>
    </row>
    <row r="121" spans="102:102" x14ac:dyDescent="0.25">
      <c r="CX121" s="74" cm="1">
        <f t="array" ref="CX121">SUMPRODUCT(D121:CT121/$D$3:$CT$3)</f>
        <v>0</v>
      </c>
    </row>
    <row r="122" spans="102:102" x14ac:dyDescent="0.25">
      <c r="CX122" s="74" cm="1">
        <f t="array" ref="CX122">SUMPRODUCT(D122:CT122/$D$3:$CT$3)</f>
        <v>0</v>
      </c>
    </row>
    <row r="123" spans="102:102" x14ac:dyDescent="0.25">
      <c r="CX123" s="74" cm="1">
        <f t="array" ref="CX123">SUMPRODUCT(D123:CT123/$D$3:$CT$3)</f>
        <v>0</v>
      </c>
    </row>
    <row r="124" spans="102:102" x14ac:dyDescent="0.25">
      <c r="CX124" s="74" cm="1">
        <f t="array" ref="CX124">SUMPRODUCT(D124:CT124/$D$3:$CT$3)</f>
        <v>0</v>
      </c>
    </row>
  </sheetData>
  <autoFilter ref="A1:DC124" xr:uid="{00000000-0009-0000-0000-000000000000}"/>
  <conditionalFormatting sqref="A1:B1 A3:B3 A78:A124 A125:B1048576">
    <cfRule type="cellIs" dxfId="25" priority="188" operator="equal">
      <formula>"تزریق"</formula>
    </cfRule>
    <cfRule type="cellIs" dxfId="24" priority="189" operator="equal">
      <formula>"قراردادی"</formula>
    </cfRule>
  </conditionalFormatting>
  <conditionalFormatting sqref="A1:B3 A78:A124 A125:B1048576">
    <cfRule type="cellIs" dxfId="23" priority="184" operator="equal">
      <formula>"قطع همکاری"</formula>
    </cfRule>
    <cfRule type="cellIs" dxfId="22" priority="185" operator="equal">
      <formula>"آموزشی"</formula>
    </cfRule>
  </conditionalFormatting>
  <conditionalFormatting sqref="A1:B3 A2:CX2 A78:A124 A125:B1048576">
    <cfRule type="cellIs" dxfId="21" priority="187" operator="equal">
      <formula>"روزمزد"</formula>
    </cfRule>
  </conditionalFormatting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AB106"/>
  <sheetViews>
    <sheetView rightToLeft="1" zoomScale="120" zoomScaleNormal="120" workbookViewId="0">
      <pane xSplit="5" ySplit="2" topLeftCell="G3" activePane="bottomRight" state="frozen"/>
      <selection pane="topRight" activeCell="E1" sqref="E1"/>
      <selection pane="bottomLeft" activeCell="A3" sqref="A3"/>
      <selection pane="bottomRight" activeCell="R8" sqref="R8"/>
    </sheetView>
  </sheetViews>
  <sheetFormatPr defaultColWidth="9.140625" defaultRowHeight="18" outlineLevelCol="2" x14ac:dyDescent="0.25"/>
  <cols>
    <col min="1" max="1" width="6.85546875" style="136" customWidth="1"/>
    <col min="2" max="2" width="5.85546875" style="70" customWidth="1"/>
    <col min="3" max="3" width="9.28515625" style="70" customWidth="1"/>
    <col min="4" max="4" width="8.28515625" style="115" customWidth="1"/>
    <col min="5" max="5" width="15.5703125" style="70" customWidth="1"/>
    <col min="6" max="6" width="14.28515625" style="70" hidden="1" customWidth="1"/>
    <col min="7" max="12" width="7.42578125" style="115" customWidth="1" outlineLevel="2"/>
    <col min="13" max="14" width="7.42578125" style="115" customWidth="1" outlineLevel="1"/>
    <col min="15" max="15" width="9" style="115" customWidth="1" outlineLevel="1"/>
    <col min="16" max="18" width="8.28515625" style="116" customWidth="1" outlineLevel="1"/>
    <col min="19" max="19" width="9.28515625" style="116" customWidth="1" outlineLevel="1"/>
    <col min="20" max="20" width="8" style="117" customWidth="1"/>
    <col min="21" max="21" width="8.28515625" style="117" customWidth="1"/>
    <col min="22" max="22" width="8" style="117" customWidth="1"/>
    <col min="23" max="23" width="9.140625" style="117" customWidth="1"/>
    <col min="24" max="24" width="10.28515625" style="117" customWidth="1"/>
    <col min="25" max="25" width="9" style="117" customWidth="1"/>
    <col min="26" max="27" width="0" style="27" hidden="1" customWidth="1"/>
    <col min="28" max="28" width="19.85546875" style="169" customWidth="1"/>
    <col min="29" max="16384" width="9.140625" style="27"/>
  </cols>
  <sheetData>
    <row r="1" spans="1:28" ht="24" customHeight="1" thickBot="1" x14ac:dyDescent="0.3">
      <c r="A1" s="108" t="s">
        <v>306</v>
      </c>
      <c r="B1" s="109" t="s">
        <v>574</v>
      </c>
      <c r="C1" s="110"/>
      <c r="D1" s="111"/>
      <c r="E1" s="112" t="s">
        <v>307</v>
      </c>
      <c r="F1" s="113">
        <v>31</v>
      </c>
      <c r="G1" s="114"/>
      <c r="H1" s="114" t="s">
        <v>308</v>
      </c>
      <c r="I1" s="114"/>
      <c r="J1" s="114"/>
      <c r="K1" s="114"/>
      <c r="L1" s="114"/>
      <c r="M1" s="113">
        <v>10</v>
      </c>
    </row>
    <row r="2" spans="1:28" s="84" customFormat="1" ht="42.75" x14ac:dyDescent="0.25">
      <c r="A2" s="118" t="s">
        <v>296</v>
      </c>
      <c r="B2" s="119" t="s">
        <v>294</v>
      </c>
      <c r="C2" s="119" t="s">
        <v>356</v>
      </c>
      <c r="D2" s="119" t="s">
        <v>0</v>
      </c>
      <c r="E2" s="119" t="s">
        <v>1</v>
      </c>
      <c r="F2" s="119" t="s">
        <v>295</v>
      </c>
      <c r="G2" s="119" t="s">
        <v>214</v>
      </c>
      <c r="H2" s="120" t="s">
        <v>327</v>
      </c>
      <c r="I2" s="120" t="s">
        <v>325</v>
      </c>
      <c r="J2" s="120" t="s">
        <v>326</v>
      </c>
      <c r="K2" s="120" t="s">
        <v>215</v>
      </c>
      <c r="L2" s="120" t="s">
        <v>216</v>
      </c>
      <c r="M2" s="120" t="s">
        <v>206</v>
      </c>
      <c r="N2" s="120" t="s">
        <v>207</v>
      </c>
      <c r="O2" s="121" t="s">
        <v>309</v>
      </c>
      <c r="P2" s="122" t="s">
        <v>235</v>
      </c>
      <c r="Q2" s="123" t="s">
        <v>310</v>
      </c>
      <c r="R2" s="123" t="s">
        <v>311</v>
      </c>
      <c r="S2" s="123" t="s">
        <v>285</v>
      </c>
      <c r="T2" s="122" t="s">
        <v>212</v>
      </c>
      <c r="U2" s="123" t="s">
        <v>213</v>
      </c>
      <c r="V2" s="122" t="s">
        <v>283</v>
      </c>
      <c r="W2" s="123" t="s">
        <v>284</v>
      </c>
      <c r="X2" s="124" t="s">
        <v>340</v>
      </c>
      <c r="Y2" s="125" t="s">
        <v>341</v>
      </c>
      <c r="Z2" s="119" t="s">
        <v>356</v>
      </c>
      <c r="AA2" s="119" t="s">
        <v>0</v>
      </c>
      <c r="AB2" s="170" t="s">
        <v>592</v>
      </c>
    </row>
    <row r="3" spans="1:28" s="62" customFormat="1" ht="15" customHeight="1" x14ac:dyDescent="0.25">
      <c r="A3" s="93"/>
      <c r="B3" s="93"/>
      <c r="C3" s="93">
        <v>1097</v>
      </c>
      <c r="D3" s="100">
        <v>14345</v>
      </c>
      <c r="E3" s="93" t="s">
        <v>305</v>
      </c>
      <c r="F3" s="93"/>
      <c r="G3" s="98" t="str">
        <f>_xlfn.IFNA(_xlfn.XLOOKUP(D3,'کارکرد اداری'!$C$4:$C$204,'کارکرد اداری'!$N$4:$N$204,"0",0),_xlfn.XLOOKUP(C3,'کارکرد اداری'!$C$4:$C$204,'کارکرد اداری'!$N$4:$N$204,"0",0))</f>
        <v>0</v>
      </c>
      <c r="H3" s="98">
        <f>_xlfn.XLOOKUP(D3,'کارکرد اداری'!$C$4:$C$204,'کارکرد اداری'!$K$4:$K$204,0,0)</f>
        <v>0</v>
      </c>
      <c r="I3" s="98">
        <f>_xlfn.XLOOKUP(D3,'کارکرد اداری'!$C$4:$C$204,'کارکرد اداری'!$I$4:$I$204,0,0)</f>
        <v>0</v>
      </c>
      <c r="J3" s="164" t="e" cm="1">
        <f t="array" ref="J3">_xlfn.IFNA(INDEX('کارکرد اداری'!J:J,MATCH(C3,'کارکرد اداری'!B:B,0),0),INDEX('کارکرد اداری'!J:J,MATCH(D3,'کارکرد اداری'!C:C,0),0))</f>
        <v>#N/A</v>
      </c>
      <c r="K3" s="164" t="e" cm="1">
        <f t="array" ref="K3">_xlfn.IFNA(INDEX('کارکرد اداری'!R:R,MATCH(C3,'کارکرد اداری'!B:B,0),0),INDEX('کارکرد اداری'!R:R,MATCH(D3,'کارکرد اداری'!C:C,0),0))</f>
        <v>#N/A</v>
      </c>
      <c r="L3" s="164" t="e" cm="1">
        <f t="array" ref="L3">_xlfn.IFNA(INDEX('کارکرد اداری'!S:S,MATCH(C3,'کارکرد اداری'!B:B,0),0),INDEX('کارکرد اداری'!S:S,MATCH(D3,'کارکرد اداری'!C:C,0),0))</f>
        <v>#N/A</v>
      </c>
      <c r="M3" s="164" t="e" cm="1">
        <f t="array" ref="M3">_xlfn.IFNA(INDEX('کارکرد اداری'!P:P,MATCH(C3,'کارکرد اداری'!B:B,0),0),INDEX('کارکرد اداری'!P:P,MATCH(D3,'کارکرد اداری'!C:C,0),0))</f>
        <v>#N/A</v>
      </c>
      <c r="N3" s="164" t="e" cm="1">
        <f t="array" ref="N3">_xlfn.IFNA(INDEX('کارکرد اداری'!Q:Q,MATCH(C3,'کارکرد اداری'!B:B,0),0),INDEX('کارکرد اداری'!Q:Q,MATCH(D3,'کارکرد اداری'!C:C,0),0))</f>
        <v>#N/A</v>
      </c>
      <c r="O3" s="95" t="e">
        <f t="shared" ref="O3:O34" si="0">$F$1-$M$1-G3-H3-I3-J3</f>
        <v>#N/A</v>
      </c>
      <c r="P3" s="96" t="e">
        <f>((O3*440+M3*60+N3)-(K3*60-L3))/60</f>
        <v>#N/A</v>
      </c>
      <c r="Q3" s="97" cm="1">
        <f t="array" ref="Q3">_xlfn.IFNA(INDEX(نهایی!CW:CW,MATCH(D3,نهایی!B:B,0),0)/60,INDEX(نهایی!CW:CW,MATCH(C3,نهایی!B:B,0),0)/60)</f>
        <v>157.66666666666666</v>
      </c>
      <c r="R3" s="97" t="e">
        <f t="shared" ref="R3:R34" si="1">Q3-P3</f>
        <v>#N/A</v>
      </c>
      <c r="S3" s="161">
        <f>_xlfn.IFNA(INDEX(نهایی!CX:CX,MATCH(D3,نهایی!B:B,0)),INDEX(نهایی!CX:CX,MATCH(C3,نهایی!B:B,0)))</f>
        <v>158.18809061221734</v>
      </c>
      <c r="T3" s="96" t="str">
        <f>IF(S3&gt;Q3,"",Q3-S3)</f>
        <v/>
      </c>
      <c r="U3" s="97">
        <f>IF(Q3&gt;S3,"",S3-Q3)</f>
        <v>0.52142394555067995</v>
      </c>
      <c r="V3" s="96" t="e">
        <f t="shared" ref="V3:V34" si="2">IF(P3&gt;S3,P3-S3,"")</f>
        <v>#N/A</v>
      </c>
      <c r="W3" s="97" t="e">
        <f t="shared" ref="W3:W34" si="3">IF(P3&lt;S3,S3-P3,"")</f>
        <v>#N/A</v>
      </c>
      <c r="X3" s="96" t="e">
        <f>ROUNDDOWN(IF((0.95-S3/P3)&gt;0,(0.95-S3/P3),0)*Q3,0)</f>
        <v>#N/A</v>
      </c>
      <c r="Y3" s="94" t="e">
        <f t="shared" ref="Y3:Y34" si="4">ROUNDUP((IF(((S3/P3)-0.97)&gt;0,((S3/P3)-0.97),0)*Q3)/1,0)</f>
        <v>#N/A</v>
      </c>
      <c r="Z3" s="27" t="e">
        <f>VLOOKUP(C3,نهایی!B:B,1,0)</f>
        <v>#N/A</v>
      </c>
      <c r="AA3" s="27">
        <f>VLOOKUP(D3,نهایی!B:B,1,0)</f>
        <v>14345</v>
      </c>
      <c r="AB3" s="171"/>
    </row>
    <row r="4" spans="1:28" s="70" customFormat="1" x14ac:dyDescent="0.25">
      <c r="A4" s="93"/>
      <c r="B4" s="93"/>
      <c r="C4" s="93">
        <f>_xlfn.XLOOKUP(D4,'کارکرد اداری'!$C$3:$C$106,'کارکرد اداری'!$B$3:$B$106,0,1)</f>
        <v>602</v>
      </c>
      <c r="D4" s="100">
        <v>14541</v>
      </c>
      <c r="E4" s="93" t="s">
        <v>331</v>
      </c>
      <c r="F4" s="93"/>
      <c r="G4" s="98" t="str">
        <f>_xlfn.IFNA(_xlfn.XLOOKUP(D4,'کارکرد اداری'!$C$4:$C$204,'کارکرد اداری'!$N$4:$N$204,"0",0),_xlfn.XLOOKUP(C4,'کارکرد اداری'!$C$4:$C$204,'کارکرد اداری'!$N$4:$N$204,"0",0))</f>
        <v>0</v>
      </c>
      <c r="H4" s="98">
        <f>_xlfn.XLOOKUP(D4,'کارکرد اداری'!$C$4:$C$204,'کارکرد اداری'!$K$4:$K$204,0,1)</f>
        <v>0</v>
      </c>
      <c r="I4" s="98">
        <f>_xlfn.XLOOKUP(D4,'کارکرد اداری'!$C$4:$C$204,'کارکرد اداری'!$I$4:$I$204,0,1)</f>
        <v>0</v>
      </c>
      <c r="J4" s="164" t="e" cm="1">
        <f t="array" ref="J4">_xlfn.IFNA(INDEX('کارکرد اداری'!J:J,MATCH(C4,'کارکرد اداری'!B:B,0),0),INDEX('کارکرد اداری'!J:J,MATCH(D4,'کارکرد اداری'!C:C,0),0))</f>
        <v>#N/A</v>
      </c>
      <c r="K4" s="164" t="e" cm="1">
        <f t="array" ref="K4">_xlfn.IFNA(INDEX('کارکرد اداری'!R:R,MATCH(C4,'کارکرد اداری'!B:B,0),0),INDEX('کارکرد اداری'!R:R,MATCH(D4,'کارکرد اداری'!C:C,0),0))</f>
        <v>#N/A</v>
      </c>
      <c r="L4" s="164" t="e" cm="1">
        <f t="array" ref="L4">_xlfn.IFNA(INDEX('کارکرد اداری'!S:S,MATCH(C4,'کارکرد اداری'!B:B,0),0),INDEX('کارکرد اداری'!S:S,MATCH(D4,'کارکرد اداری'!C:C,0),0))</f>
        <v>#N/A</v>
      </c>
      <c r="M4" s="164" t="e" cm="1">
        <f t="array" ref="M4">_xlfn.IFNA(INDEX('کارکرد اداری'!P:P,MATCH(C4,'کارکرد اداری'!B:B,0),0),INDEX('کارکرد اداری'!P:P,MATCH(D4,'کارکرد اداری'!C:C,0),0))</f>
        <v>#N/A</v>
      </c>
      <c r="N4" s="164" t="e" cm="1">
        <f t="array" ref="N4">_xlfn.IFNA(INDEX('کارکرد اداری'!Q:Q,MATCH(C4,'کارکرد اداری'!B:B,0),0),INDEX('کارکرد اداری'!Q:Q,MATCH(D4,'کارکرد اداری'!C:C,0),0))</f>
        <v>#N/A</v>
      </c>
      <c r="O4" s="100" t="e">
        <f t="shared" si="0"/>
        <v>#N/A</v>
      </c>
      <c r="P4" s="96" t="e">
        <f t="shared" ref="P4:P34" si="5">((O4*440+M4*60+N4)-(K4*60-L4))/60</f>
        <v>#N/A</v>
      </c>
      <c r="Q4" s="97" cm="1">
        <f t="array" ref="Q4">_xlfn.IFNA(INDEX(نهایی!CW:CW,MATCH(D4,نهایی!B:B,0),0)/60,INDEX(نهایی!CW:CW,MATCH(C4,نهایی!B:B,0),0)/60)</f>
        <v>156.33333333333334</v>
      </c>
      <c r="R4" s="97" t="e">
        <f t="shared" si="1"/>
        <v>#N/A</v>
      </c>
      <c r="S4" s="161">
        <f>_xlfn.IFNA(INDEX(نهایی!CX:CX,MATCH(D4,نهایی!B:B,0)),INDEX(نهایی!CX:CX,MATCH(C4,نهایی!B:B,0)))</f>
        <v>164.90743727561016</v>
      </c>
      <c r="T4" s="96" t="str">
        <f t="shared" ref="T4:T34" si="6">IF(S4&gt;Q4,"",Q4-S4)</f>
        <v/>
      </c>
      <c r="U4" s="97">
        <f t="shared" ref="U4:U34" si="7">IF(Q4&gt;S4,"",S4-Q4)</f>
        <v>8.574103942276821</v>
      </c>
      <c r="V4" s="96" t="e">
        <f t="shared" si="2"/>
        <v>#N/A</v>
      </c>
      <c r="W4" s="97" t="e">
        <f t="shared" si="3"/>
        <v>#N/A</v>
      </c>
      <c r="X4" s="96" t="e">
        <f t="shared" ref="X4:X34" si="8">ROUNDDOWN(IF((0.95-S4/P4)&gt;0,(0.95-S4/P4),0)*Q4,0)</f>
        <v>#N/A</v>
      </c>
      <c r="Y4" s="94" t="e">
        <f t="shared" si="4"/>
        <v>#N/A</v>
      </c>
      <c r="Z4" s="27" t="e">
        <f>VLOOKUP(C4,نهایی!B:B,1,0)</f>
        <v>#N/A</v>
      </c>
      <c r="AA4" s="27">
        <f>VLOOKUP(D4,نهایی!B:B,1,0)</f>
        <v>14541</v>
      </c>
      <c r="AB4" s="172"/>
    </row>
    <row r="5" spans="1:28" s="62" customFormat="1" x14ac:dyDescent="0.25">
      <c r="A5" s="93"/>
      <c r="B5" s="93"/>
      <c r="C5" s="93">
        <f>_xlfn.XLOOKUP(D5,'کارکرد اداری'!$C$3:$C$106,'کارکرد اداری'!$B$3:$B$106,0,1)</f>
        <v>580</v>
      </c>
      <c r="D5" s="98">
        <v>14531</v>
      </c>
      <c r="E5" s="93" t="s">
        <v>370</v>
      </c>
      <c r="F5" s="93"/>
      <c r="G5" s="98" t="str">
        <f>_xlfn.IFNA(_xlfn.XLOOKUP(D5,'کارکرد اداری'!$C$4:$C$204,'کارکرد اداری'!$N$4:$N$204,"0",0),_xlfn.XLOOKUP(C5,'کارکرد اداری'!$C$4:$C$204,'کارکرد اداری'!$N$4:$N$204,"0",0))</f>
        <v>0</v>
      </c>
      <c r="H5" s="98">
        <f>_xlfn.XLOOKUP(D5,'کارکرد اداری'!$C$4:$C$204,'کارکرد اداری'!$K$4:$K$204,0,1)</f>
        <v>0</v>
      </c>
      <c r="I5" s="98">
        <f>_xlfn.XLOOKUP(D5,'کارکرد اداری'!$C$4:$C$204,'کارکرد اداری'!$I$4:$I$204,0,1)</f>
        <v>0</v>
      </c>
      <c r="J5" s="164" t="e" cm="1">
        <f t="array" ref="J5">_xlfn.IFNA(INDEX('کارکرد اداری'!J:J,MATCH(C5,'کارکرد اداری'!B:B,0),0),INDEX('کارکرد اداری'!J:J,MATCH(D5,'کارکرد اداری'!C:C,0),0))</f>
        <v>#N/A</v>
      </c>
      <c r="K5" s="164" t="e" cm="1">
        <f t="array" ref="K5">_xlfn.IFNA(INDEX('کارکرد اداری'!R:R,MATCH(C5,'کارکرد اداری'!B:B,0),0),INDEX('کارکرد اداری'!R:R,MATCH(D5,'کارکرد اداری'!C:C,0),0))</f>
        <v>#N/A</v>
      </c>
      <c r="L5" s="164" t="e" cm="1">
        <f t="array" ref="L5">_xlfn.IFNA(INDEX('کارکرد اداری'!S:S,MATCH(C5,'کارکرد اداری'!B:B,0),0),INDEX('کارکرد اداری'!S:S,MATCH(D5,'کارکرد اداری'!C:C,0),0))</f>
        <v>#N/A</v>
      </c>
      <c r="M5" s="164" t="e" cm="1">
        <f t="array" ref="M5">_xlfn.IFNA(INDEX('کارکرد اداری'!P:P,MATCH(C5,'کارکرد اداری'!B:B,0),0),INDEX('کارکرد اداری'!P:P,MATCH(D5,'کارکرد اداری'!C:C,0),0))</f>
        <v>#N/A</v>
      </c>
      <c r="N5" s="164" t="e" cm="1">
        <f t="array" ref="N5">_xlfn.IFNA(INDEX('کارکرد اداری'!Q:Q,MATCH(C5,'کارکرد اداری'!B:B,0),0),INDEX('کارکرد اداری'!Q:Q,MATCH(D5,'کارکرد اداری'!C:C,0),0))</f>
        <v>#N/A</v>
      </c>
      <c r="O5" s="95" t="e">
        <f t="shared" si="0"/>
        <v>#N/A</v>
      </c>
      <c r="P5" s="96" t="e">
        <f t="shared" si="5"/>
        <v>#N/A</v>
      </c>
      <c r="Q5" s="97" cm="1">
        <f t="array" ref="Q5">_xlfn.IFNA(INDEX(نهایی!CW:CW,MATCH(D5,نهایی!B:B,0),0)/60,INDEX(نهایی!CW:CW,MATCH(C5,نهایی!B:B,0),0)/60)</f>
        <v>174</v>
      </c>
      <c r="R5" s="97" t="e">
        <f t="shared" si="1"/>
        <v>#N/A</v>
      </c>
      <c r="S5" s="161">
        <f>_xlfn.IFNA(INDEX(نهایی!CX:CX,MATCH(D5,نهایی!B:B,0)),INDEX(نهایی!CX:CX,MATCH(C5,نهایی!B:B,0)))</f>
        <v>175.05882352941177</v>
      </c>
      <c r="T5" s="96" t="str">
        <f t="shared" si="6"/>
        <v/>
      </c>
      <c r="U5" s="97">
        <f t="shared" si="7"/>
        <v>1.058823529411768</v>
      </c>
      <c r="V5" s="96" t="e">
        <f t="shared" si="2"/>
        <v>#N/A</v>
      </c>
      <c r="W5" s="97" t="e">
        <f t="shared" si="3"/>
        <v>#N/A</v>
      </c>
      <c r="X5" s="96" t="e">
        <f t="shared" si="8"/>
        <v>#N/A</v>
      </c>
      <c r="Y5" s="94" t="e">
        <f t="shared" si="4"/>
        <v>#N/A</v>
      </c>
      <c r="Z5" s="27" t="e">
        <f>VLOOKUP(C5,نهایی!B:B,1,0)</f>
        <v>#N/A</v>
      </c>
      <c r="AA5" s="27">
        <f>VLOOKUP(D5,نهایی!B:B,1,0)</f>
        <v>14531</v>
      </c>
      <c r="AB5" s="171"/>
    </row>
    <row r="6" spans="1:28" s="62" customFormat="1" x14ac:dyDescent="0.25">
      <c r="A6" s="93"/>
      <c r="B6" s="93"/>
      <c r="C6" s="93">
        <f>_xlfn.XLOOKUP(D6,'کارکرد اداری'!$C$3:$C$106,'کارکرد اداری'!$B$3:$B$106,0,1)</f>
        <v>644</v>
      </c>
      <c r="D6" s="100">
        <v>14570</v>
      </c>
      <c r="E6" s="93" t="s">
        <v>333</v>
      </c>
      <c r="F6" s="127"/>
      <c r="G6" s="98" t="str">
        <f>_xlfn.IFNA(_xlfn.XLOOKUP(D6,'کارکرد اداری'!$C$4:$C$204,'کارکرد اداری'!$N$4:$N$204,"0",0),_xlfn.XLOOKUP(C6,'کارکرد اداری'!$C$4:$C$204,'کارکرد اداری'!$N$4:$N$204,"0",0))</f>
        <v>0</v>
      </c>
      <c r="H6" s="98">
        <f>_xlfn.XLOOKUP(D6,'کارکرد اداری'!$C$4:$C$204,'کارکرد اداری'!$K$4:$K$204,0,1)</f>
        <v>0</v>
      </c>
      <c r="I6" s="98">
        <f>_xlfn.XLOOKUP(D6,'کارکرد اداری'!$C$4:$C$204,'کارکرد اداری'!$I$4:$I$204,0,1)</f>
        <v>0</v>
      </c>
      <c r="J6" s="164" t="e" cm="1">
        <f t="array" ref="J6">_xlfn.IFNA(INDEX('کارکرد اداری'!J:J,MATCH(C6,'کارکرد اداری'!B:B,0),0),INDEX('کارکرد اداری'!J:J,MATCH(D6,'کارکرد اداری'!C:C,0),0))</f>
        <v>#N/A</v>
      </c>
      <c r="K6" s="164" t="e" cm="1">
        <f t="array" ref="K6">_xlfn.IFNA(INDEX('کارکرد اداری'!R:R,MATCH(C6,'کارکرد اداری'!B:B,0),0),INDEX('کارکرد اداری'!R:R,MATCH(D6,'کارکرد اداری'!C:C,0),0))</f>
        <v>#N/A</v>
      </c>
      <c r="L6" s="164" t="e" cm="1">
        <f t="array" ref="L6">_xlfn.IFNA(INDEX('کارکرد اداری'!S:S,MATCH(C6,'کارکرد اداری'!B:B,0),0),INDEX('کارکرد اداری'!S:S,MATCH(D6,'کارکرد اداری'!C:C,0),0))</f>
        <v>#N/A</v>
      </c>
      <c r="M6" s="164" t="e" cm="1">
        <f t="array" ref="M6">_xlfn.IFNA(INDEX('کارکرد اداری'!P:P,MATCH(C6,'کارکرد اداری'!B:B,0),0),INDEX('کارکرد اداری'!P:P,MATCH(D6,'کارکرد اداری'!C:C,0),0))</f>
        <v>#N/A</v>
      </c>
      <c r="N6" s="164" t="e" cm="1">
        <f t="array" ref="N6">_xlfn.IFNA(INDEX('کارکرد اداری'!Q:Q,MATCH(C6,'کارکرد اداری'!B:B,0),0),INDEX('کارکرد اداری'!Q:Q,MATCH(D6,'کارکرد اداری'!C:C,0),0))</f>
        <v>#N/A</v>
      </c>
      <c r="O6" s="95" t="e">
        <f t="shared" si="0"/>
        <v>#N/A</v>
      </c>
      <c r="P6" s="96" t="e">
        <f t="shared" si="5"/>
        <v>#N/A</v>
      </c>
      <c r="Q6" s="97" cm="1">
        <f t="array" ref="Q6">_xlfn.IFNA(INDEX(نهایی!CW:CW,MATCH(D6,نهایی!B:B,0),0)/60,INDEX(نهایی!CW:CW,MATCH(C6,نهایی!B:B,0),0)/60)</f>
        <v>166.66666666666666</v>
      </c>
      <c r="R6" s="97" t="e">
        <f t="shared" si="1"/>
        <v>#N/A</v>
      </c>
      <c r="S6" s="161">
        <f>_xlfn.IFNA(INDEX(نهایی!CX:CX,MATCH(D6,نهایی!B:B,0)),INDEX(نهایی!CX:CX,MATCH(C6,نهایی!B:B,0)))</f>
        <v>173.50647058823529</v>
      </c>
      <c r="T6" s="96" t="str">
        <f t="shared" si="6"/>
        <v/>
      </c>
      <c r="U6" s="97">
        <f t="shared" si="7"/>
        <v>6.839803921568631</v>
      </c>
      <c r="V6" s="96" t="e">
        <f t="shared" si="2"/>
        <v>#N/A</v>
      </c>
      <c r="W6" s="97" t="e">
        <f t="shared" si="3"/>
        <v>#N/A</v>
      </c>
      <c r="X6" s="96" t="e">
        <f t="shared" si="8"/>
        <v>#N/A</v>
      </c>
      <c r="Y6" s="94" t="e">
        <f t="shared" si="4"/>
        <v>#N/A</v>
      </c>
      <c r="Z6" s="27" t="e">
        <f>VLOOKUP(C6,نهایی!B:B,1,0)</f>
        <v>#N/A</v>
      </c>
      <c r="AA6" s="27">
        <f>VLOOKUP(D6,نهایی!B:B,1,0)</f>
        <v>14570</v>
      </c>
      <c r="AB6" s="171"/>
    </row>
    <row r="7" spans="1:28" s="62" customFormat="1" x14ac:dyDescent="0.25">
      <c r="A7" s="127"/>
      <c r="B7" s="93"/>
      <c r="C7" s="93">
        <f>_xlfn.XLOOKUP(D7,'کارکرد اداری'!$C$3:$C$106,'کارکرد اداری'!$B$3:$B$106,0,1)</f>
        <v>1015</v>
      </c>
      <c r="D7" s="98">
        <v>1015</v>
      </c>
      <c r="E7" s="93" t="s">
        <v>380</v>
      </c>
      <c r="F7" s="93"/>
      <c r="G7" s="98" t="e">
        <f>_xlfn.IFNA(_xlfn.XLOOKUP(D7,'کارکرد اداری'!$C$4:$C$204,'کارکرد اداری'!$N$4:$N$204,"0",0),_xlfn.XLOOKUP(C7,'کارکرد اداری'!$C$4:$C$204,'کارکرد اداری'!$N$4:$N$204,"0",0))</f>
        <v>#N/A</v>
      </c>
      <c r="H7" s="98">
        <f>_xlfn.XLOOKUP(D7,'کارکرد اداری'!$C$4:$C$204,'کارکرد اداری'!$K$4:$K$204,0,1)</f>
        <v>0</v>
      </c>
      <c r="I7" s="98">
        <f>_xlfn.XLOOKUP(D7,'کارکرد اداری'!$C$4:$C$204,'کارکرد اداری'!$I$4:$I$204,0,1)</f>
        <v>0</v>
      </c>
      <c r="J7" s="164" t="e" cm="1">
        <f t="array" ref="J7">_xlfn.IFNA(INDEX('کارکرد اداری'!J:J,MATCH(C7,'کارکرد اداری'!B:B,0),0),INDEX('کارکرد اداری'!J:J,MATCH(D7,'کارکرد اداری'!C:C,0),0))</f>
        <v>#N/A</v>
      </c>
      <c r="K7" s="164" t="e" cm="1">
        <f t="array" ref="K7">_xlfn.IFNA(INDEX('کارکرد اداری'!R:R,MATCH(C7,'کارکرد اداری'!B:B,0),0),INDEX('کارکرد اداری'!R:R,MATCH(D7,'کارکرد اداری'!C:C,0),0))</f>
        <v>#N/A</v>
      </c>
      <c r="L7" s="164" t="e" cm="1">
        <f t="array" ref="L7">_xlfn.IFNA(INDEX('کارکرد اداری'!S:S,MATCH(C7,'کارکرد اداری'!B:B,0),0),INDEX('کارکرد اداری'!S:S,MATCH(D7,'کارکرد اداری'!C:C,0),0))</f>
        <v>#N/A</v>
      </c>
      <c r="M7" s="164" t="e" cm="1">
        <f t="array" ref="M7">_xlfn.IFNA(INDEX('کارکرد اداری'!P:P,MATCH(C7,'کارکرد اداری'!B:B,0),0),INDEX('کارکرد اداری'!P:P,MATCH(D7,'کارکرد اداری'!C:C,0),0))</f>
        <v>#N/A</v>
      </c>
      <c r="N7" s="164" t="e" cm="1">
        <f t="array" ref="N7">_xlfn.IFNA(INDEX('کارکرد اداری'!Q:Q,MATCH(C7,'کارکرد اداری'!B:B,0),0),INDEX('کارکرد اداری'!Q:Q,MATCH(D7,'کارکرد اداری'!C:C,0),0))</f>
        <v>#N/A</v>
      </c>
      <c r="O7" s="95" t="e">
        <f t="shared" si="0"/>
        <v>#N/A</v>
      </c>
      <c r="P7" s="96" t="e">
        <f t="shared" si="5"/>
        <v>#N/A</v>
      </c>
      <c r="Q7" s="97" cm="1">
        <f t="array" ref="Q7">_xlfn.IFNA(INDEX(نهایی!CW:CW,MATCH(D7,نهایی!B:B,0),0)/60,INDEX(نهایی!CW:CW,MATCH(C7,نهایی!B:B,0),0)/60)</f>
        <v>154.66666666666666</v>
      </c>
      <c r="R7" s="97" t="e">
        <f t="shared" si="1"/>
        <v>#N/A</v>
      </c>
      <c r="S7" s="161">
        <f>_xlfn.IFNA(INDEX(نهایی!CX:CX,MATCH(D7,نهایی!B:B,0)),INDEX(نهایی!CX:CX,MATCH(C7,نهایی!B:B,0)))</f>
        <v>161.70931150683248</v>
      </c>
      <c r="T7" s="96" t="str">
        <f t="shared" si="6"/>
        <v/>
      </c>
      <c r="U7" s="97">
        <f t="shared" si="7"/>
        <v>7.0426448401658206</v>
      </c>
      <c r="V7" s="96" t="e">
        <f t="shared" si="2"/>
        <v>#N/A</v>
      </c>
      <c r="W7" s="97" t="e">
        <f t="shared" si="3"/>
        <v>#N/A</v>
      </c>
      <c r="X7" s="96" t="e">
        <f t="shared" si="8"/>
        <v>#N/A</v>
      </c>
      <c r="Y7" s="94" t="e">
        <f t="shared" si="4"/>
        <v>#N/A</v>
      </c>
      <c r="Z7" s="27">
        <f>VLOOKUP(C7,نهایی!B:B,1,0)</f>
        <v>1015</v>
      </c>
      <c r="AA7" s="27">
        <f>VLOOKUP(D7,نهایی!B:B,1,0)</f>
        <v>1015</v>
      </c>
      <c r="AB7" s="171"/>
    </row>
    <row r="8" spans="1:28" s="62" customFormat="1" x14ac:dyDescent="0.25">
      <c r="A8" s="93" t="s">
        <v>413</v>
      </c>
      <c r="B8" s="93"/>
      <c r="C8" s="93">
        <v>1163</v>
      </c>
      <c r="D8" s="100">
        <v>1163</v>
      </c>
      <c r="E8" s="93" t="s">
        <v>498</v>
      </c>
      <c r="F8" s="127"/>
      <c r="G8" s="98" t="e">
        <f>_xlfn.IFNA(_xlfn.XLOOKUP(D8,'کارکرد اداری'!$C$4:$C$204,'کارکرد اداری'!$N$4:$N$204,"0",0),_xlfn.XLOOKUP(C8,'کارکرد اداری'!$C$4:$C$204,'کارکرد اداری'!$N$4:$N$204,"0",0))</f>
        <v>#N/A</v>
      </c>
      <c r="H8" s="98">
        <f>_xlfn.XLOOKUP(D8,'کارکرد اداری'!$C$4:$C$204,'کارکرد اداری'!$K$4:$K$204,0,1)</f>
        <v>0</v>
      </c>
      <c r="I8" s="98">
        <f>_xlfn.XLOOKUP(D8,'کارکرد اداری'!$C$4:$C$204,'کارکرد اداری'!$I$4:$I$204,0,1)</f>
        <v>0</v>
      </c>
      <c r="J8" s="164" t="e" cm="1">
        <f t="array" ref="J8">_xlfn.IFNA(INDEX('کارکرد اداری'!J:J,MATCH(C8,'کارکرد اداری'!B:B,0),0),INDEX('کارکرد اداری'!J:J,MATCH(D8,'کارکرد اداری'!C:C,0),0))</f>
        <v>#N/A</v>
      </c>
      <c r="K8" s="164" t="e" cm="1">
        <f t="array" ref="K8">_xlfn.IFNA(INDEX('کارکرد اداری'!R:R,MATCH(C8,'کارکرد اداری'!B:B,0),0),INDEX('کارکرد اداری'!R:R,MATCH(D8,'کارکرد اداری'!C:C,0),0))</f>
        <v>#N/A</v>
      </c>
      <c r="L8" s="164" t="e" cm="1">
        <f t="array" ref="L8">_xlfn.IFNA(INDEX('کارکرد اداری'!S:S,MATCH(C8,'کارکرد اداری'!B:B,0),0),INDEX('کارکرد اداری'!S:S,MATCH(D8,'کارکرد اداری'!C:C,0),0))</f>
        <v>#N/A</v>
      </c>
      <c r="M8" s="164" t="e" cm="1">
        <f t="array" ref="M8">_xlfn.IFNA(INDEX('کارکرد اداری'!P:P,MATCH(C8,'کارکرد اداری'!B:B,0),0),INDEX('کارکرد اداری'!P:P,MATCH(D8,'کارکرد اداری'!C:C,0),0))</f>
        <v>#N/A</v>
      </c>
      <c r="N8" s="164" t="e" cm="1">
        <f t="array" ref="N8">_xlfn.IFNA(INDEX('کارکرد اداری'!Q:Q,MATCH(C8,'کارکرد اداری'!B:B,0),0),INDEX('کارکرد اداری'!Q:Q,MATCH(D8,'کارکرد اداری'!C:C,0),0))</f>
        <v>#N/A</v>
      </c>
      <c r="O8" s="95" t="e">
        <f t="shared" si="0"/>
        <v>#N/A</v>
      </c>
      <c r="P8" s="96" t="e">
        <f t="shared" si="5"/>
        <v>#N/A</v>
      </c>
      <c r="Q8" s="97" cm="1">
        <f t="array" ref="Q8">_xlfn.IFNA(INDEX(نهایی!CW:CW,MATCH(D8,نهایی!B:B,0),0)/60,INDEX(نهایی!CW:CW,MATCH(C8,نهایی!B:B,0),0)/60)</f>
        <v>139.66666666666666</v>
      </c>
      <c r="R8" s="97" t="e">
        <f t="shared" si="1"/>
        <v>#N/A</v>
      </c>
      <c r="S8" s="161">
        <f>_xlfn.IFNA(INDEX(نهایی!CX:CX,MATCH(D8,نهایی!B:B,0)),INDEX(نهایی!CX:CX,MATCH(C8,نهایی!B:B,0)))</f>
        <v>145.39581524654929</v>
      </c>
      <c r="T8" s="96" t="str">
        <f t="shared" si="6"/>
        <v/>
      </c>
      <c r="U8" s="97">
        <f t="shared" si="7"/>
        <v>5.7291485798826329</v>
      </c>
      <c r="V8" s="96" t="e">
        <f t="shared" si="2"/>
        <v>#N/A</v>
      </c>
      <c r="W8" s="97" t="e">
        <f t="shared" si="3"/>
        <v>#N/A</v>
      </c>
      <c r="X8" s="96" t="e">
        <f t="shared" si="8"/>
        <v>#N/A</v>
      </c>
      <c r="Y8" s="94" t="e">
        <f t="shared" si="4"/>
        <v>#N/A</v>
      </c>
      <c r="Z8" s="27">
        <f>VLOOKUP(C8,نهایی!B:B,1,0)</f>
        <v>1163</v>
      </c>
      <c r="AA8" s="27">
        <f>VLOOKUP(D8,نهایی!B:B,1,0)</f>
        <v>1163</v>
      </c>
      <c r="AB8" s="171"/>
    </row>
    <row r="9" spans="1:28" s="62" customFormat="1" x14ac:dyDescent="0.25">
      <c r="A9" s="127"/>
      <c r="B9" s="93"/>
      <c r="C9" s="93">
        <f>_xlfn.XLOOKUP(D9,'کارکرد اداری'!$C$3:$C$106,'کارکرد اداری'!$B$3:$B$106,0,1)</f>
        <v>245</v>
      </c>
      <c r="D9" s="128">
        <v>14275</v>
      </c>
      <c r="E9" s="127" t="s">
        <v>203</v>
      </c>
      <c r="F9" s="127"/>
      <c r="G9" s="98" t="str">
        <f>_xlfn.IFNA(_xlfn.XLOOKUP(D9,'کارکرد اداری'!$C$4:$C$204,'کارکرد اداری'!$N$4:$N$204,"0",0),_xlfn.XLOOKUP(C9,'کارکرد اداری'!$C$4:$C$204,'کارکرد اداری'!$N$4:$N$204,"0",0))</f>
        <v>0</v>
      </c>
      <c r="H9" s="98">
        <f>_xlfn.XLOOKUP(D9,'کارکرد اداری'!$C$4:$C$204,'کارکرد اداری'!$K$4:$K$204,0,1)</f>
        <v>0</v>
      </c>
      <c r="I9" s="98">
        <f>_xlfn.XLOOKUP(D9,'کارکرد اداری'!$C$4:$C$204,'کارکرد اداری'!$I$4:$I$204,0,1)</f>
        <v>0</v>
      </c>
      <c r="J9" s="164" t="e" cm="1">
        <f t="array" ref="J9">_xlfn.IFNA(INDEX('کارکرد اداری'!J:J,MATCH(C9,'کارکرد اداری'!B:B,0),0),INDEX('کارکرد اداری'!J:J,MATCH(D9,'کارکرد اداری'!C:C,0),0))</f>
        <v>#N/A</v>
      </c>
      <c r="K9" s="164" t="e" cm="1">
        <f t="array" ref="K9">_xlfn.IFNA(INDEX('کارکرد اداری'!R:R,MATCH(C9,'کارکرد اداری'!B:B,0),0),INDEX('کارکرد اداری'!R:R,MATCH(D9,'کارکرد اداری'!C:C,0),0))</f>
        <v>#N/A</v>
      </c>
      <c r="L9" s="164" t="e" cm="1">
        <f t="array" ref="L9">_xlfn.IFNA(INDEX('کارکرد اداری'!S:S,MATCH(C9,'کارکرد اداری'!B:B,0),0),INDEX('کارکرد اداری'!S:S,MATCH(D9,'کارکرد اداری'!C:C,0),0))</f>
        <v>#N/A</v>
      </c>
      <c r="M9" s="164" t="e" cm="1">
        <f t="array" ref="M9">_xlfn.IFNA(INDEX('کارکرد اداری'!P:P,MATCH(C9,'کارکرد اداری'!B:B,0),0),INDEX('کارکرد اداری'!P:P,MATCH(D9,'کارکرد اداری'!C:C,0),0))</f>
        <v>#N/A</v>
      </c>
      <c r="N9" s="164" t="e" cm="1">
        <f t="array" ref="N9">_xlfn.IFNA(INDEX('کارکرد اداری'!Q:Q,MATCH(C9,'کارکرد اداری'!B:B,0),0),INDEX('کارکرد اداری'!Q:Q,MATCH(D9,'کارکرد اداری'!C:C,0),0))</f>
        <v>#N/A</v>
      </c>
      <c r="O9" s="95" t="e">
        <f t="shared" si="0"/>
        <v>#N/A</v>
      </c>
      <c r="P9" s="96" t="e">
        <f t="shared" si="5"/>
        <v>#N/A</v>
      </c>
      <c r="Q9" s="97" cm="1">
        <f t="array" ref="Q9">_xlfn.IFNA(INDEX(نهایی!CW:CW,MATCH(D9,نهایی!B:B,0),0)/60,INDEX(نهایی!CW:CW,MATCH(C9,نهایی!B:B,0),0)/60)</f>
        <v>171.66666666666666</v>
      </c>
      <c r="R9" s="97" t="e">
        <f t="shared" si="1"/>
        <v>#N/A</v>
      </c>
      <c r="S9" s="161">
        <f>_xlfn.IFNA(INDEX(نهایی!CX:CX,MATCH(D9,نهایی!B:B,0)),INDEX(نهایی!CX:CX,MATCH(C9,نهایی!B:B,0)))</f>
        <v>171.13324743418997</v>
      </c>
      <c r="T9" s="96">
        <f t="shared" si="6"/>
        <v>0.53341923247668888</v>
      </c>
      <c r="U9" s="97" t="str">
        <f t="shared" si="7"/>
        <v/>
      </c>
      <c r="V9" s="96" t="e">
        <f t="shared" si="2"/>
        <v>#N/A</v>
      </c>
      <c r="W9" s="97" t="e">
        <f t="shared" si="3"/>
        <v>#N/A</v>
      </c>
      <c r="X9" s="96" t="e">
        <f t="shared" si="8"/>
        <v>#N/A</v>
      </c>
      <c r="Y9" s="94" t="e">
        <f t="shared" si="4"/>
        <v>#N/A</v>
      </c>
      <c r="Z9" s="27" t="e">
        <f>VLOOKUP(C9,نهایی!B:B,1,0)</f>
        <v>#N/A</v>
      </c>
      <c r="AA9" s="27">
        <f>VLOOKUP(D9,نهایی!B:B,1,0)</f>
        <v>14275</v>
      </c>
      <c r="AB9" s="171"/>
    </row>
    <row r="10" spans="1:28" s="62" customFormat="1" x14ac:dyDescent="0.25">
      <c r="A10" s="127"/>
      <c r="B10" s="127"/>
      <c r="C10" s="93">
        <f>_xlfn.XLOOKUP(D10,'کارکرد اداری'!$C$3:$C$106,'کارکرد اداری'!$B$3:$B$106,0,1)</f>
        <v>1013</v>
      </c>
      <c r="D10" s="129">
        <v>14760</v>
      </c>
      <c r="E10" s="127" t="s">
        <v>364</v>
      </c>
      <c r="F10" s="127"/>
      <c r="G10" s="98" t="str">
        <f>_xlfn.IFNA(_xlfn.XLOOKUP(D10,'کارکرد اداری'!$C$4:$C$204,'کارکرد اداری'!$N$4:$N$204,"0",0),_xlfn.XLOOKUP(C10,'کارکرد اداری'!$C$4:$C$204,'کارکرد اداری'!$N$4:$N$204,"0",0))</f>
        <v>0</v>
      </c>
      <c r="H10" s="98">
        <f>_xlfn.XLOOKUP(D10,'کارکرد اداری'!$C$4:$C$204,'کارکرد اداری'!$K$4:$K$204,0,1)</f>
        <v>0</v>
      </c>
      <c r="I10" s="98">
        <f>_xlfn.XLOOKUP(D10,'کارکرد اداری'!$C$4:$C$204,'کارکرد اداری'!$I$4:$I$204,0,1)</f>
        <v>0</v>
      </c>
      <c r="J10" s="164" t="e" cm="1">
        <f t="array" ref="J10">_xlfn.IFNA(INDEX('کارکرد اداری'!J:J,MATCH(C10,'کارکرد اداری'!B:B,0),0),INDEX('کارکرد اداری'!J:J,MATCH(D10,'کارکرد اداری'!C:C,0),0))</f>
        <v>#N/A</v>
      </c>
      <c r="K10" s="164" t="e" cm="1">
        <f t="array" ref="K10">_xlfn.IFNA(INDEX('کارکرد اداری'!R:R,MATCH(C10,'کارکرد اداری'!B:B,0),0),INDEX('کارکرد اداری'!R:R,MATCH(D10,'کارکرد اداری'!C:C,0),0))</f>
        <v>#N/A</v>
      </c>
      <c r="L10" s="164" t="e" cm="1">
        <f t="array" ref="L10">_xlfn.IFNA(INDEX('کارکرد اداری'!S:S,MATCH(C10,'کارکرد اداری'!B:B,0),0),INDEX('کارکرد اداری'!S:S,MATCH(D10,'کارکرد اداری'!C:C,0),0))</f>
        <v>#N/A</v>
      </c>
      <c r="M10" s="164" t="e" cm="1">
        <f t="array" ref="M10">_xlfn.IFNA(INDEX('کارکرد اداری'!P:P,MATCH(C10,'کارکرد اداری'!B:B,0),0),INDEX('کارکرد اداری'!P:P,MATCH(D10,'کارکرد اداری'!C:C,0),0))</f>
        <v>#N/A</v>
      </c>
      <c r="N10" s="164" t="e" cm="1">
        <f t="array" ref="N10">_xlfn.IFNA(INDEX('کارکرد اداری'!Q:Q,MATCH(C10,'کارکرد اداری'!B:B,0),0),INDEX('کارکرد اداری'!Q:Q,MATCH(D10,'کارکرد اداری'!C:C,0),0))</f>
        <v>#N/A</v>
      </c>
      <c r="O10" s="95" t="e">
        <f t="shared" si="0"/>
        <v>#N/A</v>
      </c>
      <c r="P10" s="96" t="e">
        <f t="shared" si="5"/>
        <v>#N/A</v>
      </c>
      <c r="Q10" s="97" cm="1">
        <f t="array" ref="Q10">_xlfn.IFNA(INDEX(نهایی!CW:CW,MATCH(D10,نهایی!B:B,0),0)/60,INDEX(نهایی!CW:CW,MATCH(C10,نهایی!B:B,0),0)/60)</f>
        <v>151.5</v>
      </c>
      <c r="R10" s="97" t="e">
        <f t="shared" si="1"/>
        <v>#N/A</v>
      </c>
      <c r="S10" s="161">
        <f>_xlfn.IFNA(INDEX(نهایی!CX:CX,MATCH(D10,نهایی!B:B,0)),INDEX(نهایی!CX:CX,MATCH(C10,نهایی!B:B,0)))</f>
        <v>158.07804822286073</v>
      </c>
      <c r="T10" s="96" t="str">
        <f t="shared" si="6"/>
        <v/>
      </c>
      <c r="U10" s="97">
        <f t="shared" si="7"/>
        <v>6.5780482228607298</v>
      </c>
      <c r="V10" s="96" t="e">
        <f t="shared" si="2"/>
        <v>#N/A</v>
      </c>
      <c r="W10" s="97" t="e">
        <f t="shared" si="3"/>
        <v>#N/A</v>
      </c>
      <c r="X10" s="96" t="e">
        <f t="shared" si="8"/>
        <v>#N/A</v>
      </c>
      <c r="Y10" s="94" t="e">
        <f t="shared" si="4"/>
        <v>#N/A</v>
      </c>
      <c r="Z10" s="27" t="e">
        <f>VLOOKUP(C10,نهایی!B:B,1,0)</f>
        <v>#N/A</v>
      </c>
      <c r="AA10" s="27">
        <f>VLOOKUP(D10,نهایی!B:B,1,0)</f>
        <v>14760</v>
      </c>
      <c r="AB10" s="171"/>
    </row>
    <row r="11" spans="1:28" s="62" customFormat="1" x14ac:dyDescent="0.25">
      <c r="A11" s="127"/>
      <c r="B11" s="93"/>
      <c r="C11" s="93">
        <f>_xlfn.XLOOKUP(D11,'کارکرد اداری'!$C$3:$C$106,'کارکرد اداری'!$B$3:$B$106,0,1)</f>
        <v>317</v>
      </c>
      <c r="D11" s="100">
        <v>14331</v>
      </c>
      <c r="E11" s="93" t="s">
        <v>204</v>
      </c>
      <c r="F11" s="93"/>
      <c r="G11" s="98" t="str">
        <f>_xlfn.IFNA(_xlfn.XLOOKUP(D11,'کارکرد اداری'!$C$4:$C$204,'کارکرد اداری'!$N$4:$N$204,"0",0),_xlfn.XLOOKUP(C11,'کارکرد اداری'!$C$4:$C$204,'کارکرد اداری'!$N$4:$N$204,"0",0))</f>
        <v>0</v>
      </c>
      <c r="H11" s="98">
        <f>_xlfn.XLOOKUP(D11,'کارکرد اداری'!$C$4:$C$204,'کارکرد اداری'!$K$4:$K$204,0,1)</f>
        <v>0</v>
      </c>
      <c r="I11" s="98">
        <f>_xlfn.XLOOKUP(D11,'کارکرد اداری'!$C$4:$C$204,'کارکرد اداری'!$I$4:$I$204,0,1)</f>
        <v>0</v>
      </c>
      <c r="J11" s="164" t="e" cm="1">
        <f t="array" ref="J11">_xlfn.IFNA(INDEX('کارکرد اداری'!J:J,MATCH(C11,'کارکرد اداری'!B:B,0),0),INDEX('کارکرد اداری'!J:J,MATCH(D11,'کارکرد اداری'!C:C,0),0))</f>
        <v>#N/A</v>
      </c>
      <c r="K11" s="164" t="e" cm="1">
        <f t="array" ref="K11">_xlfn.IFNA(INDEX('کارکرد اداری'!R:R,MATCH(C11,'کارکرد اداری'!B:B,0),0),INDEX('کارکرد اداری'!R:R,MATCH(D11,'کارکرد اداری'!C:C,0),0))</f>
        <v>#N/A</v>
      </c>
      <c r="L11" s="164" t="e" cm="1">
        <f t="array" ref="L11">_xlfn.IFNA(INDEX('کارکرد اداری'!S:S,MATCH(C11,'کارکرد اداری'!B:B,0),0),INDEX('کارکرد اداری'!S:S,MATCH(D11,'کارکرد اداری'!C:C,0),0))</f>
        <v>#N/A</v>
      </c>
      <c r="M11" s="164" t="e" cm="1">
        <f t="array" ref="M11">_xlfn.IFNA(INDEX('کارکرد اداری'!P:P,MATCH(C11,'کارکرد اداری'!B:B,0),0),INDEX('کارکرد اداری'!P:P,MATCH(D11,'کارکرد اداری'!C:C,0),0))</f>
        <v>#N/A</v>
      </c>
      <c r="N11" s="164" t="e" cm="1">
        <f t="array" ref="N11">_xlfn.IFNA(INDEX('کارکرد اداری'!Q:Q,MATCH(C11,'کارکرد اداری'!B:B,0),0),INDEX('کارکرد اداری'!Q:Q,MATCH(D11,'کارکرد اداری'!C:C,0),0))</f>
        <v>#N/A</v>
      </c>
      <c r="O11" s="95" t="e">
        <f t="shared" si="0"/>
        <v>#N/A</v>
      </c>
      <c r="P11" s="96" t="e">
        <f t="shared" si="5"/>
        <v>#N/A</v>
      </c>
      <c r="Q11" s="97" cm="1">
        <f t="array" ref="Q11">_xlfn.IFNA(INDEX(نهایی!CW:CW,MATCH(D11,نهایی!B:B,0),0)/60,INDEX(نهایی!CW:CW,MATCH(C11,نهایی!B:B,0),0)/60)</f>
        <v>166.66666666666666</v>
      </c>
      <c r="R11" s="97" t="e">
        <f t="shared" si="1"/>
        <v>#N/A</v>
      </c>
      <c r="S11" s="161">
        <f>_xlfn.IFNA(INDEX(نهایی!CX:CX,MATCH(D11,نهایی!B:B,0)),INDEX(نهایی!CX:CX,MATCH(C11,نهایی!B:B,0)))</f>
        <v>170.97268406468132</v>
      </c>
      <c r="T11" s="96" t="str">
        <f t="shared" si="6"/>
        <v/>
      </c>
      <c r="U11" s="97">
        <f t="shared" si="7"/>
        <v>4.3060173980146601</v>
      </c>
      <c r="V11" s="96" t="e">
        <f t="shared" si="2"/>
        <v>#N/A</v>
      </c>
      <c r="W11" s="97" t="e">
        <f t="shared" si="3"/>
        <v>#N/A</v>
      </c>
      <c r="X11" s="96" t="e">
        <f t="shared" si="8"/>
        <v>#N/A</v>
      </c>
      <c r="Y11" s="94" t="e">
        <f t="shared" si="4"/>
        <v>#N/A</v>
      </c>
      <c r="Z11" s="27" t="e">
        <f>VLOOKUP(C11,نهایی!B:B,1,0)</f>
        <v>#N/A</v>
      </c>
      <c r="AA11" s="27">
        <f>VLOOKUP(D11,نهایی!B:B,1,0)</f>
        <v>14331</v>
      </c>
      <c r="AB11" s="171"/>
    </row>
    <row r="12" spans="1:28" s="62" customFormat="1" x14ac:dyDescent="0.25">
      <c r="A12" s="93" t="s">
        <v>353</v>
      </c>
      <c r="B12" s="93"/>
      <c r="C12" s="93">
        <f>_xlfn.XLOOKUP(D12,'کارکرد اداری'!$C$3:$C$106,'کارکرد اداری'!$B$3:$B$106,0,1)</f>
        <v>302</v>
      </c>
      <c r="D12" s="100">
        <v>14323</v>
      </c>
      <c r="E12" s="93" t="s">
        <v>304</v>
      </c>
      <c r="F12" s="93"/>
      <c r="G12" s="98" t="str">
        <f>_xlfn.IFNA(_xlfn.XLOOKUP(D12,'کارکرد اداری'!$C$4:$C$204,'کارکرد اداری'!$N$4:$N$204,"0",0),_xlfn.XLOOKUP(C12,'کارکرد اداری'!$C$4:$C$204,'کارکرد اداری'!$N$4:$N$204,"0",0))</f>
        <v>0</v>
      </c>
      <c r="H12" s="98">
        <f>_xlfn.XLOOKUP(D12,'کارکرد اداری'!$C$4:$C$204,'کارکرد اداری'!$K$4:$K$204,0,1)</f>
        <v>0</v>
      </c>
      <c r="I12" s="98">
        <f>_xlfn.XLOOKUP(D12,'کارکرد اداری'!$C$4:$C$204,'کارکرد اداری'!$I$4:$I$204,0,1)</f>
        <v>0</v>
      </c>
      <c r="J12" s="164" t="e" cm="1">
        <f t="array" ref="J12">_xlfn.IFNA(INDEX('کارکرد اداری'!J:J,MATCH(C12,'کارکرد اداری'!B:B,0),0),INDEX('کارکرد اداری'!J:J,MATCH(D12,'کارکرد اداری'!C:C,0),0))</f>
        <v>#N/A</v>
      </c>
      <c r="K12" s="164" t="e" cm="1">
        <f t="array" ref="K12">_xlfn.IFNA(INDEX('کارکرد اداری'!R:R,MATCH(C12,'کارکرد اداری'!B:B,0),0),INDEX('کارکرد اداری'!R:R,MATCH(D12,'کارکرد اداری'!C:C,0),0))</f>
        <v>#N/A</v>
      </c>
      <c r="L12" s="164" t="e" cm="1">
        <f t="array" ref="L12">_xlfn.IFNA(INDEX('کارکرد اداری'!S:S,MATCH(C12,'کارکرد اداری'!B:B,0),0),INDEX('کارکرد اداری'!S:S,MATCH(D12,'کارکرد اداری'!C:C,0),0))</f>
        <v>#N/A</v>
      </c>
      <c r="M12" s="164" t="e" cm="1">
        <f t="array" ref="M12">_xlfn.IFNA(INDEX('کارکرد اداری'!P:P,MATCH(C12,'کارکرد اداری'!B:B,0),0),INDEX('کارکرد اداری'!P:P,MATCH(D12,'کارکرد اداری'!C:C,0),0))</f>
        <v>#N/A</v>
      </c>
      <c r="N12" s="164" t="e" cm="1">
        <f t="array" ref="N12">_xlfn.IFNA(INDEX('کارکرد اداری'!Q:Q,MATCH(C12,'کارکرد اداری'!B:B,0),0),INDEX('کارکرد اداری'!Q:Q,MATCH(D12,'کارکرد اداری'!C:C,0),0))</f>
        <v>#N/A</v>
      </c>
      <c r="O12" s="95" t="e">
        <f t="shared" si="0"/>
        <v>#N/A</v>
      </c>
      <c r="P12" s="96" t="e">
        <f t="shared" si="5"/>
        <v>#N/A</v>
      </c>
      <c r="Q12" s="97" cm="1">
        <f t="array" ref="Q12">_xlfn.IFNA(INDEX(نهایی!CW:CW,MATCH(D12,نهایی!B:B,0),0)/60,INDEX(نهایی!CW:CW,MATCH(C12,نهایی!B:B,0),0)/60)</f>
        <v>135.33333333333334</v>
      </c>
      <c r="R12" s="97" t="e">
        <f t="shared" si="1"/>
        <v>#N/A</v>
      </c>
      <c r="S12" s="161">
        <f>_xlfn.IFNA(INDEX(نهایی!CX:CX,MATCH(D12,نهایی!B:B,0)),INDEX(نهایی!CX:CX,MATCH(C12,نهایی!B:B,0)))</f>
        <v>140.80057571294685</v>
      </c>
      <c r="T12" s="96" t="str">
        <f t="shared" si="6"/>
        <v/>
      </c>
      <c r="U12" s="97">
        <f t="shared" si="7"/>
        <v>5.4672423796135092</v>
      </c>
      <c r="V12" s="96" t="e">
        <f t="shared" si="2"/>
        <v>#N/A</v>
      </c>
      <c r="W12" s="97" t="e">
        <f t="shared" si="3"/>
        <v>#N/A</v>
      </c>
      <c r="X12" s="96" t="e">
        <f t="shared" si="8"/>
        <v>#N/A</v>
      </c>
      <c r="Y12" s="94" t="e">
        <f t="shared" si="4"/>
        <v>#N/A</v>
      </c>
      <c r="Z12" s="27" t="e">
        <f>VLOOKUP(C12,نهایی!B:B,1,0)</f>
        <v>#N/A</v>
      </c>
      <c r="AA12" s="27">
        <f>VLOOKUP(D12,نهایی!B:B,1,0)</f>
        <v>14323</v>
      </c>
      <c r="AB12" s="171"/>
    </row>
    <row r="13" spans="1:28" s="62" customFormat="1" x14ac:dyDescent="0.25">
      <c r="A13" s="127" t="s">
        <v>353</v>
      </c>
      <c r="B13" s="127"/>
      <c r="C13" s="93">
        <f>_xlfn.XLOOKUP(D13,'کارکرد اداری'!$C$3:$C$106,'کارکرد اداری'!$B$3:$B$106,0,1)</f>
        <v>784</v>
      </c>
      <c r="D13" s="128">
        <v>14650</v>
      </c>
      <c r="E13" s="127" t="s">
        <v>375</v>
      </c>
      <c r="F13" s="127"/>
      <c r="G13" s="98" t="str">
        <f>_xlfn.IFNA(_xlfn.XLOOKUP(D13,'کارکرد اداری'!$C$4:$C$204,'کارکرد اداری'!$N$4:$N$204,"0",0),_xlfn.XLOOKUP(C13,'کارکرد اداری'!$C$4:$C$204,'کارکرد اداری'!$N$4:$N$204,"0",0))</f>
        <v>0</v>
      </c>
      <c r="H13" s="98">
        <f>_xlfn.XLOOKUP(D13,'کارکرد اداری'!$C$4:$C$204,'کارکرد اداری'!$K$4:$K$204,0,1)</f>
        <v>0</v>
      </c>
      <c r="I13" s="98">
        <f>_xlfn.XLOOKUP(D13,'کارکرد اداری'!$C$4:$C$204,'کارکرد اداری'!$I$4:$I$204,0,1)</f>
        <v>0</v>
      </c>
      <c r="J13" s="164" t="e" cm="1">
        <f t="array" ref="J13">_xlfn.IFNA(INDEX('کارکرد اداری'!J:J,MATCH(C13,'کارکرد اداری'!B:B,0),0),INDEX('کارکرد اداری'!J:J,MATCH(D13,'کارکرد اداری'!C:C,0),0))</f>
        <v>#N/A</v>
      </c>
      <c r="K13" s="164" t="e" cm="1">
        <f t="array" ref="K13">_xlfn.IFNA(INDEX('کارکرد اداری'!R:R,MATCH(C13,'کارکرد اداری'!B:B,0),0),INDEX('کارکرد اداری'!R:R,MATCH(D13,'کارکرد اداری'!C:C,0),0))</f>
        <v>#N/A</v>
      </c>
      <c r="L13" s="164" t="e" cm="1">
        <f t="array" ref="L13">_xlfn.IFNA(INDEX('کارکرد اداری'!S:S,MATCH(C13,'کارکرد اداری'!B:B,0),0),INDEX('کارکرد اداری'!S:S,MATCH(D13,'کارکرد اداری'!C:C,0),0))</f>
        <v>#N/A</v>
      </c>
      <c r="M13" s="164" t="e" cm="1">
        <f t="array" ref="M13">_xlfn.IFNA(INDEX('کارکرد اداری'!P:P,MATCH(C13,'کارکرد اداری'!B:B,0),0),INDEX('کارکرد اداری'!P:P,MATCH(D13,'کارکرد اداری'!C:C,0),0))</f>
        <v>#N/A</v>
      </c>
      <c r="N13" s="164" t="e" cm="1">
        <f t="array" ref="N13">_xlfn.IFNA(INDEX('کارکرد اداری'!Q:Q,MATCH(C13,'کارکرد اداری'!B:B,0),0),INDEX('کارکرد اداری'!Q:Q,MATCH(D13,'کارکرد اداری'!C:C,0),0))</f>
        <v>#N/A</v>
      </c>
      <c r="O13" s="95" t="e">
        <f t="shared" si="0"/>
        <v>#N/A</v>
      </c>
      <c r="P13" s="96" t="e">
        <f t="shared" si="5"/>
        <v>#N/A</v>
      </c>
      <c r="Q13" s="97" cm="1">
        <f t="array" ref="Q13">_xlfn.IFNA(INDEX(نهایی!CW:CW,MATCH(D13,نهایی!B:B,0),0)/60,INDEX(نهایی!CW:CW,MATCH(C13,نهایی!B:B,0),0)/60)</f>
        <v>131.33333333333334</v>
      </c>
      <c r="R13" s="97" t="e">
        <f t="shared" si="1"/>
        <v>#N/A</v>
      </c>
      <c r="S13" s="161">
        <f>_xlfn.IFNA(INDEX(نهایی!CX:CX,MATCH(D13,نهایی!B:B,0)),INDEX(نهایی!CX:CX,MATCH(C13,نهایی!B:B,0)))</f>
        <v>135.97036871174802</v>
      </c>
      <c r="T13" s="96" t="str">
        <f t="shared" si="6"/>
        <v/>
      </c>
      <c r="U13" s="97">
        <f t="shared" si="7"/>
        <v>4.6370353784146801</v>
      </c>
      <c r="V13" s="96" t="e">
        <f t="shared" si="2"/>
        <v>#N/A</v>
      </c>
      <c r="W13" s="97" t="e">
        <f t="shared" si="3"/>
        <v>#N/A</v>
      </c>
      <c r="X13" s="96" t="e">
        <f t="shared" si="8"/>
        <v>#N/A</v>
      </c>
      <c r="Y13" s="94" t="e">
        <f t="shared" si="4"/>
        <v>#N/A</v>
      </c>
      <c r="Z13" s="27">
        <f>VLOOKUP(C13,نهایی!B:B,1,0)</f>
        <v>784</v>
      </c>
      <c r="AA13" s="27" t="e">
        <f>VLOOKUP(D13,نهایی!B:B,1,0)</f>
        <v>#N/A</v>
      </c>
      <c r="AB13" s="171"/>
    </row>
    <row r="14" spans="1:28" s="62" customFormat="1" x14ac:dyDescent="0.25">
      <c r="A14" s="93"/>
      <c r="B14" s="93"/>
      <c r="C14" s="93">
        <f>_xlfn.XLOOKUP(D14,'کارکرد اداری'!$C$3:$C$106,'کارکرد اداری'!$B$3:$B$106,0,1)</f>
        <v>628</v>
      </c>
      <c r="D14" s="100">
        <v>14554</v>
      </c>
      <c r="E14" s="93" t="s">
        <v>371</v>
      </c>
      <c r="F14" s="93"/>
      <c r="G14" s="98" t="str">
        <f>_xlfn.IFNA(_xlfn.XLOOKUP(D14,'کارکرد اداری'!$C$4:$C$204,'کارکرد اداری'!$N$4:$N$204,"0",0),_xlfn.XLOOKUP(C14,'کارکرد اداری'!$C$4:$C$204,'کارکرد اداری'!$N$4:$N$204,"0",0))</f>
        <v>0</v>
      </c>
      <c r="H14" s="98">
        <f>_xlfn.XLOOKUP(D14,'کارکرد اداری'!$C$4:$C$204,'کارکرد اداری'!$K$4:$K$204,0,1)</f>
        <v>0</v>
      </c>
      <c r="I14" s="98">
        <f>_xlfn.XLOOKUP(D14,'کارکرد اداری'!$C$4:$C$204,'کارکرد اداری'!$I$4:$I$204,0,1)</f>
        <v>0</v>
      </c>
      <c r="J14" s="164" t="e" cm="1">
        <f t="array" ref="J14">_xlfn.IFNA(INDEX('کارکرد اداری'!J:J,MATCH(C14,'کارکرد اداری'!B:B,0),0),INDEX('کارکرد اداری'!J:J,MATCH(D14,'کارکرد اداری'!C:C,0),0))</f>
        <v>#N/A</v>
      </c>
      <c r="K14" s="164" t="e" cm="1">
        <f t="array" ref="K14">_xlfn.IFNA(INDEX('کارکرد اداری'!R:R,MATCH(C14,'کارکرد اداری'!B:B,0),0),INDEX('کارکرد اداری'!R:R,MATCH(D14,'کارکرد اداری'!C:C,0),0))</f>
        <v>#N/A</v>
      </c>
      <c r="L14" s="164" t="e" cm="1">
        <f t="array" ref="L14">_xlfn.IFNA(INDEX('کارکرد اداری'!S:S,MATCH(C14,'کارکرد اداری'!B:B,0),0),INDEX('کارکرد اداری'!S:S,MATCH(D14,'کارکرد اداری'!C:C,0),0))</f>
        <v>#N/A</v>
      </c>
      <c r="M14" s="164" t="e" cm="1">
        <f t="array" ref="M14">_xlfn.IFNA(INDEX('کارکرد اداری'!P:P,MATCH(C14,'کارکرد اداری'!B:B,0),0),INDEX('کارکرد اداری'!P:P,MATCH(D14,'کارکرد اداری'!C:C,0),0))</f>
        <v>#N/A</v>
      </c>
      <c r="N14" s="164" t="e" cm="1">
        <f t="array" ref="N14">_xlfn.IFNA(INDEX('کارکرد اداری'!Q:Q,MATCH(C14,'کارکرد اداری'!B:B,0),0),INDEX('کارکرد اداری'!Q:Q,MATCH(D14,'کارکرد اداری'!C:C,0),0))</f>
        <v>#N/A</v>
      </c>
      <c r="O14" s="95" t="e">
        <f t="shared" si="0"/>
        <v>#N/A</v>
      </c>
      <c r="P14" s="96" t="e">
        <f t="shared" si="5"/>
        <v>#N/A</v>
      </c>
      <c r="Q14" s="97" cm="1">
        <f t="array" ref="Q14">_xlfn.IFNA(INDEX(نهایی!CW:CW,MATCH(D14,نهایی!B:B,0),0)/60,INDEX(نهایی!CW:CW,MATCH(C14,نهایی!B:B,0),0)/60)</f>
        <v>147</v>
      </c>
      <c r="R14" s="97" t="e">
        <f t="shared" si="1"/>
        <v>#N/A</v>
      </c>
      <c r="S14" s="161">
        <f>_xlfn.IFNA(INDEX(نهایی!CX:CX,MATCH(D14,نهایی!B:B,0)),INDEX(نهایی!CX:CX,MATCH(C14,نهایی!B:B,0)))</f>
        <v>152.61754445964434</v>
      </c>
      <c r="T14" s="96" t="str">
        <f t="shared" si="6"/>
        <v/>
      </c>
      <c r="U14" s="97">
        <f t="shared" si="7"/>
        <v>5.6175444596443356</v>
      </c>
      <c r="V14" s="96" t="e">
        <f t="shared" si="2"/>
        <v>#N/A</v>
      </c>
      <c r="W14" s="97" t="e">
        <f t="shared" si="3"/>
        <v>#N/A</v>
      </c>
      <c r="X14" s="96" t="e">
        <f t="shared" si="8"/>
        <v>#N/A</v>
      </c>
      <c r="Y14" s="94" t="e">
        <f t="shared" si="4"/>
        <v>#N/A</v>
      </c>
      <c r="Z14" s="27" t="e">
        <f>VLOOKUP(C14,نهایی!B:B,1,0)</f>
        <v>#N/A</v>
      </c>
      <c r="AA14" s="27">
        <f>VLOOKUP(D14,نهایی!B:B,1,0)</f>
        <v>14554</v>
      </c>
      <c r="AB14" s="171"/>
    </row>
    <row r="15" spans="1:28" s="62" customFormat="1" x14ac:dyDescent="0.25">
      <c r="A15" s="127"/>
      <c r="B15" s="93"/>
      <c r="C15" s="93">
        <f>_xlfn.XLOOKUP(D15,'کارکرد اداری'!$C$3:$C$106,'کارکرد اداری'!$B$3:$B$106,0,1)</f>
        <v>960</v>
      </c>
      <c r="D15" s="100">
        <v>14739</v>
      </c>
      <c r="E15" s="93" t="s">
        <v>361</v>
      </c>
      <c r="F15" s="93"/>
      <c r="G15" s="98" t="str">
        <f>_xlfn.IFNA(_xlfn.XLOOKUP(D15,'کارکرد اداری'!$C$4:$C$204,'کارکرد اداری'!$N$4:$N$204,"0",0),_xlfn.XLOOKUP(C15,'کارکرد اداری'!$C$4:$C$204,'کارکرد اداری'!$N$4:$N$204,"0",0))</f>
        <v>0</v>
      </c>
      <c r="H15" s="98">
        <f>_xlfn.XLOOKUP(D15,'کارکرد اداری'!$C$4:$C$204,'کارکرد اداری'!$K$4:$K$204,0,1)</f>
        <v>0</v>
      </c>
      <c r="I15" s="98">
        <f>_xlfn.XLOOKUP(D15,'کارکرد اداری'!$C$4:$C$204,'کارکرد اداری'!$I$4:$I$204,0,1)</f>
        <v>0</v>
      </c>
      <c r="J15" s="164" t="e" cm="1">
        <f t="array" ref="J15">_xlfn.IFNA(INDEX('کارکرد اداری'!J:J,MATCH(C15,'کارکرد اداری'!B:B,0),0),INDEX('کارکرد اداری'!J:J,MATCH(D15,'کارکرد اداری'!C:C,0),0))</f>
        <v>#N/A</v>
      </c>
      <c r="K15" s="164" t="e" cm="1">
        <f t="array" ref="K15">_xlfn.IFNA(INDEX('کارکرد اداری'!R:R,MATCH(C15,'کارکرد اداری'!B:B,0),0),INDEX('کارکرد اداری'!R:R,MATCH(D15,'کارکرد اداری'!C:C,0),0))</f>
        <v>#N/A</v>
      </c>
      <c r="L15" s="164" t="e" cm="1">
        <f t="array" ref="L15">_xlfn.IFNA(INDEX('کارکرد اداری'!S:S,MATCH(C15,'کارکرد اداری'!B:B,0),0),INDEX('کارکرد اداری'!S:S,MATCH(D15,'کارکرد اداری'!C:C,0),0))</f>
        <v>#N/A</v>
      </c>
      <c r="M15" s="164" t="e" cm="1">
        <f t="array" ref="M15">_xlfn.IFNA(INDEX('کارکرد اداری'!P:P,MATCH(C15,'کارکرد اداری'!B:B,0),0),INDEX('کارکرد اداری'!P:P,MATCH(D15,'کارکرد اداری'!C:C,0),0))</f>
        <v>#N/A</v>
      </c>
      <c r="N15" s="164" t="e" cm="1">
        <f t="array" ref="N15">_xlfn.IFNA(INDEX('کارکرد اداری'!Q:Q,MATCH(C15,'کارکرد اداری'!B:B,0),0),INDEX('کارکرد اداری'!Q:Q,MATCH(D15,'کارکرد اداری'!C:C,0),0))</f>
        <v>#N/A</v>
      </c>
      <c r="O15" s="95" t="e">
        <f t="shared" si="0"/>
        <v>#N/A</v>
      </c>
      <c r="P15" s="96" t="e">
        <f t="shared" si="5"/>
        <v>#N/A</v>
      </c>
      <c r="Q15" s="97" cm="1">
        <f t="array" ref="Q15">_xlfn.IFNA(INDEX(نهایی!CW:CW,MATCH(D15,نهایی!B:B,0),0)/60,INDEX(نهایی!CW:CW,MATCH(C15,نهایی!B:B,0),0)/60)</f>
        <v>156.33333333333334</v>
      </c>
      <c r="R15" s="97" t="e">
        <f t="shared" si="1"/>
        <v>#N/A</v>
      </c>
      <c r="S15" s="161">
        <f>_xlfn.IFNA(INDEX(نهایی!CX:CX,MATCH(D15,نهایی!B:B,0)),INDEX(نهایی!CX:CX,MATCH(C15,نهایی!B:B,0)))</f>
        <v>160.12518853695326</v>
      </c>
      <c r="T15" s="96" t="str">
        <f t="shared" si="6"/>
        <v/>
      </c>
      <c r="U15" s="97">
        <f t="shared" si="7"/>
        <v>3.7918552036199173</v>
      </c>
      <c r="V15" s="96" t="e">
        <f t="shared" si="2"/>
        <v>#N/A</v>
      </c>
      <c r="W15" s="97" t="e">
        <f t="shared" si="3"/>
        <v>#N/A</v>
      </c>
      <c r="X15" s="96" t="e">
        <f t="shared" si="8"/>
        <v>#N/A</v>
      </c>
      <c r="Y15" s="94" t="e">
        <f t="shared" si="4"/>
        <v>#N/A</v>
      </c>
      <c r="Z15" s="27" t="e">
        <f>VLOOKUP(C15,نهایی!B:B,1,0)</f>
        <v>#N/A</v>
      </c>
      <c r="AA15" s="27">
        <f>VLOOKUP(D15,نهایی!B:B,1,0)</f>
        <v>14739</v>
      </c>
      <c r="AB15" s="171"/>
    </row>
    <row r="16" spans="1:28" s="62" customFormat="1" x14ac:dyDescent="0.25">
      <c r="A16" s="93" t="s">
        <v>413</v>
      </c>
      <c r="B16" s="93"/>
      <c r="C16" s="93">
        <f>_xlfn.XLOOKUP(D16,'کارکرد اداری'!$C$3:$C$106,'کارکرد اداری'!$B$3:$B$106,0,1)</f>
        <v>1144</v>
      </c>
      <c r="D16" s="98">
        <v>14919</v>
      </c>
      <c r="E16" s="93" t="s">
        <v>468</v>
      </c>
      <c r="F16" s="93"/>
      <c r="G16" s="98" t="str">
        <f>_xlfn.IFNA(_xlfn.XLOOKUP(D16,'کارکرد اداری'!$C$4:$C$204,'کارکرد اداری'!$N$4:$N$204,"0",0),_xlfn.XLOOKUP(C16,'کارکرد اداری'!$C$4:$C$204,'کارکرد اداری'!$N$4:$N$204,"0",0))</f>
        <v>0</v>
      </c>
      <c r="H16" s="98">
        <f>_xlfn.XLOOKUP(D16,'کارکرد اداری'!$C$4:$C$204,'کارکرد اداری'!$K$4:$K$204,0,1)</f>
        <v>0</v>
      </c>
      <c r="I16" s="98">
        <f>_xlfn.XLOOKUP(D16,'کارکرد اداری'!$C$4:$C$204,'کارکرد اداری'!$I$4:$I$204,0,1)</f>
        <v>0</v>
      </c>
      <c r="J16" s="164" t="e" cm="1">
        <f t="array" ref="J16">_xlfn.IFNA(INDEX('کارکرد اداری'!J:J,MATCH(C16,'کارکرد اداری'!B:B,0),0),INDEX('کارکرد اداری'!J:J,MATCH(D16,'کارکرد اداری'!C:C,0),0))</f>
        <v>#N/A</v>
      </c>
      <c r="K16" s="164" t="e" cm="1">
        <f t="array" ref="K16">_xlfn.IFNA(INDEX('کارکرد اداری'!R:R,MATCH(C16,'کارکرد اداری'!B:B,0),0),INDEX('کارکرد اداری'!R:R,MATCH(D16,'کارکرد اداری'!C:C,0),0))</f>
        <v>#N/A</v>
      </c>
      <c r="L16" s="164" t="e" cm="1">
        <f t="array" ref="L16">_xlfn.IFNA(INDEX('کارکرد اداری'!S:S,MATCH(C16,'کارکرد اداری'!B:B,0),0),INDEX('کارکرد اداری'!S:S,MATCH(D16,'کارکرد اداری'!C:C,0),0))</f>
        <v>#N/A</v>
      </c>
      <c r="M16" s="164" t="e" cm="1">
        <f t="array" ref="M16">_xlfn.IFNA(INDEX('کارکرد اداری'!P:P,MATCH(C16,'کارکرد اداری'!B:B,0),0),INDEX('کارکرد اداری'!P:P,MATCH(D16,'کارکرد اداری'!C:C,0),0))</f>
        <v>#N/A</v>
      </c>
      <c r="N16" s="164" t="e" cm="1">
        <f t="array" ref="N16">_xlfn.IFNA(INDEX('کارکرد اداری'!Q:Q,MATCH(C16,'کارکرد اداری'!B:B,0),0),INDEX('کارکرد اداری'!Q:Q,MATCH(D16,'کارکرد اداری'!C:C,0),0))</f>
        <v>#N/A</v>
      </c>
      <c r="O16" s="95" t="e">
        <f t="shared" si="0"/>
        <v>#N/A</v>
      </c>
      <c r="P16" s="96" t="e">
        <f t="shared" si="5"/>
        <v>#N/A</v>
      </c>
      <c r="Q16" s="97" cm="1">
        <f t="array" ref="Q16">_xlfn.IFNA(INDEX(نهایی!CW:CW,MATCH(D16,نهایی!B:B,0),0)/60,INDEX(نهایی!CW:CW,MATCH(C16,نهایی!B:B,0),0)/60)</f>
        <v>141.83333333333334</v>
      </c>
      <c r="R16" s="97" t="e">
        <f t="shared" si="1"/>
        <v>#N/A</v>
      </c>
      <c r="S16" s="161">
        <f>_xlfn.IFNA(INDEX(نهایی!CX:CX,MATCH(D16,نهایی!B:B,0)),INDEX(نهایی!CX:CX,MATCH(C16,نهایی!B:B,0)))</f>
        <v>144.9254411764706</v>
      </c>
      <c r="T16" s="96" t="str">
        <f t="shared" si="6"/>
        <v/>
      </c>
      <c r="U16" s="97">
        <f t="shared" si="7"/>
        <v>3.0921078431372564</v>
      </c>
      <c r="V16" s="96" t="e">
        <f t="shared" si="2"/>
        <v>#N/A</v>
      </c>
      <c r="W16" s="97" t="e">
        <f t="shared" si="3"/>
        <v>#N/A</v>
      </c>
      <c r="X16" s="96" t="e">
        <f t="shared" si="8"/>
        <v>#N/A</v>
      </c>
      <c r="Y16" s="94" t="e">
        <f t="shared" si="4"/>
        <v>#N/A</v>
      </c>
      <c r="Z16" s="27">
        <f>VLOOKUP(C16,نهایی!B:B,1,0)</f>
        <v>1144</v>
      </c>
      <c r="AA16" s="27" t="e">
        <f>VLOOKUP(D16,نهایی!B:B,1,0)</f>
        <v>#N/A</v>
      </c>
      <c r="AB16" s="171"/>
    </row>
    <row r="17" spans="1:28" s="62" customFormat="1" x14ac:dyDescent="0.25">
      <c r="A17" s="93"/>
      <c r="B17" s="93"/>
      <c r="C17" s="93">
        <f>_xlfn.XLOOKUP(D17,'کارکرد اداری'!$C$3:$C$106,'کارکرد اداری'!$B$3:$B$106,0,1)</f>
        <v>1121</v>
      </c>
      <c r="D17" s="100">
        <v>14900</v>
      </c>
      <c r="E17" s="93" t="s">
        <v>439</v>
      </c>
      <c r="F17" s="93"/>
      <c r="G17" s="98" t="str">
        <f>_xlfn.IFNA(_xlfn.XLOOKUP(D17,'کارکرد اداری'!$C$4:$C$204,'کارکرد اداری'!$N$4:$N$204,"0",0),_xlfn.XLOOKUP(C17,'کارکرد اداری'!$C$4:$C$204,'کارکرد اداری'!$N$4:$N$204,"0",0))</f>
        <v>0</v>
      </c>
      <c r="H17" s="98">
        <f>_xlfn.XLOOKUP(D17,'کارکرد اداری'!$C$4:$C$204,'کارکرد اداری'!$K$4:$K$204,0,1)</f>
        <v>0</v>
      </c>
      <c r="I17" s="98">
        <f>_xlfn.XLOOKUP(D17,'کارکرد اداری'!$C$4:$C$204,'کارکرد اداری'!$I$4:$I$204,0,1)</f>
        <v>0</v>
      </c>
      <c r="J17" s="164" t="e" cm="1">
        <f t="array" ref="J17">_xlfn.IFNA(INDEX('کارکرد اداری'!J:J,MATCH(C17,'کارکرد اداری'!B:B,0),0),INDEX('کارکرد اداری'!J:J,MATCH(D17,'کارکرد اداری'!C:C,0),0))</f>
        <v>#N/A</v>
      </c>
      <c r="K17" s="164" t="e" cm="1">
        <f t="array" ref="K17">_xlfn.IFNA(INDEX('کارکرد اداری'!R:R,MATCH(C17,'کارکرد اداری'!B:B,0),0),INDEX('کارکرد اداری'!R:R,MATCH(D17,'کارکرد اداری'!C:C,0),0))</f>
        <v>#N/A</v>
      </c>
      <c r="L17" s="164" t="e" cm="1">
        <f t="array" ref="L17">_xlfn.IFNA(INDEX('کارکرد اداری'!S:S,MATCH(C17,'کارکرد اداری'!B:B,0),0),INDEX('کارکرد اداری'!S:S,MATCH(D17,'کارکرد اداری'!C:C,0),0))</f>
        <v>#N/A</v>
      </c>
      <c r="M17" s="164" t="e" cm="1">
        <f t="array" ref="M17">_xlfn.IFNA(INDEX('کارکرد اداری'!P:P,MATCH(C17,'کارکرد اداری'!B:B,0),0),INDEX('کارکرد اداری'!P:P,MATCH(D17,'کارکرد اداری'!C:C,0),0))</f>
        <v>#N/A</v>
      </c>
      <c r="N17" s="164" t="e" cm="1">
        <f t="array" ref="N17">_xlfn.IFNA(INDEX('کارکرد اداری'!Q:Q,MATCH(C17,'کارکرد اداری'!B:B,0),0),INDEX('کارکرد اداری'!Q:Q,MATCH(D17,'کارکرد اداری'!C:C,0),0))</f>
        <v>#N/A</v>
      </c>
      <c r="O17" s="95" t="e">
        <f t="shared" si="0"/>
        <v>#N/A</v>
      </c>
      <c r="P17" s="96" t="e">
        <f t="shared" si="5"/>
        <v>#N/A</v>
      </c>
      <c r="Q17" s="97" cm="1">
        <f t="array" ref="Q17">_xlfn.IFNA(INDEX(نهایی!CW:CW,MATCH(D17,نهایی!B:B,0),0)/60,INDEX(نهایی!CW:CW,MATCH(C17,نهایی!B:B,0),0)/60)</f>
        <v>102.33333333333333</v>
      </c>
      <c r="R17" s="97" t="e">
        <f t="shared" si="1"/>
        <v>#N/A</v>
      </c>
      <c r="S17" s="161">
        <f>_xlfn.IFNA(INDEX(نهایی!CX:CX,MATCH(D17,نهایی!B:B,0)),INDEX(نهایی!CX:CX,MATCH(C17,نهایی!B:B,0)))</f>
        <v>106.72285415733691</v>
      </c>
      <c r="T17" s="96" t="str">
        <f t="shared" si="6"/>
        <v/>
      </c>
      <c r="U17" s="97">
        <f t="shared" si="7"/>
        <v>4.3895208240035828</v>
      </c>
      <c r="V17" s="96" t="e">
        <f t="shared" si="2"/>
        <v>#N/A</v>
      </c>
      <c r="W17" s="97" t="e">
        <f t="shared" si="3"/>
        <v>#N/A</v>
      </c>
      <c r="X17" s="96" t="e">
        <f t="shared" si="8"/>
        <v>#N/A</v>
      </c>
      <c r="Y17" s="94" t="e">
        <f t="shared" si="4"/>
        <v>#N/A</v>
      </c>
      <c r="Z17" s="27">
        <f>VLOOKUP(C17,نهایی!B:B,1,0)</f>
        <v>1121</v>
      </c>
      <c r="AA17" s="27" t="e">
        <f>VLOOKUP(D17,نهایی!B:B,1,0)</f>
        <v>#N/A</v>
      </c>
      <c r="AB17" s="171"/>
    </row>
    <row r="18" spans="1:28" x14ac:dyDescent="0.25">
      <c r="A18" s="93"/>
      <c r="B18" s="93" t="s">
        <v>208</v>
      </c>
      <c r="C18" s="93">
        <f>_xlfn.XLOOKUP(D18,'کارکرد اداری'!$C$3:$C$106,'کارکرد اداری'!$B$3:$B$106,0,1)</f>
        <v>291</v>
      </c>
      <c r="D18" s="100">
        <v>14304</v>
      </c>
      <c r="E18" s="93" t="s">
        <v>292</v>
      </c>
      <c r="F18" s="93"/>
      <c r="G18" s="98" t="str">
        <f>_xlfn.IFNA(_xlfn.XLOOKUP(D18,'کارکرد اداری'!$C$4:$C$204,'کارکرد اداری'!$N$4:$N$204,"0",0),_xlfn.XLOOKUP(C18,'کارکرد اداری'!$C$4:$C$204,'کارکرد اداری'!$N$4:$N$204,"0",0))</f>
        <v>0</v>
      </c>
      <c r="H18" s="98">
        <f>_xlfn.XLOOKUP(D18,'کارکرد اداری'!$C$4:$C$204,'کارکرد اداری'!$K$4:$K$204,0,1)</f>
        <v>0</v>
      </c>
      <c r="I18" s="98">
        <f>_xlfn.XLOOKUP(D18,'کارکرد اداری'!$C$4:$C$204,'کارکرد اداری'!$I$4:$I$204,0,1)</f>
        <v>0</v>
      </c>
      <c r="J18" s="164" t="e" cm="1">
        <f t="array" ref="J18">_xlfn.IFNA(INDEX('کارکرد اداری'!J:J,MATCH(C18,'کارکرد اداری'!B:B,0),0),INDEX('کارکرد اداری'!J:J,MATCH(D18,'کارکرد اداری'!C:C,0),0))</f>
        <v>#N/A</v>
      </c>
      <c r="K18" s="164" t="e" cm="1">
        <f t="array" ref="K18">_xlfn.IFNA(INDEX('کارکرد اداری'!R:R,MATCH(C18,'کارکرد اداری'!B:B,0),0),INDEX('کارکرد اداری'!R:R,MATCH(D18,'کارکرد اداری'!C:C,0),0))</f>
        <v>#N/A</v>
      </c>
      <c r="L18" s="164" t="e" cm="1">
        <f t="array" ref="L18">_xlfn.IFNA(INDEX('کارکرد اداری'!S:S,MATCH(C18,'کارکرد اداری'!B:B,0),0),INDEX('کارکرد اداری'!S:S,MATCH(D18,'کارکرد اداری'!C:C,0),0))</f>
        <v>#N/A</v>
      </c>
      <c r="M18" s="164" t="e" cm="1">
        <f t="array" ref="M18">_xlfn.IFNA(INDEX('کارکرد اداری'!P:P,MATCH(C18,'کارکرد اداری'!B:B,0),0),INDEX('کارکرد اداری'!P:P,MATCH(D18,'کارکرد اداری'!C:C,0),0))</f>
        <v>#N/A</v>
      </c>
      <c r="N18" s="164" t="e" cm="1">
        <f t="array" ref="N18">_xlfn.IFNA(INDEX('کارکرد اداری'!Q:Q,MATCH(C18,'کارکرد اداری'!B:B,0),0),INDEX('کارکرد اداری'!Q:Q,MATCH(D18,'کارکرد اداری'!C:C,0),0))</f>
        <v>#N/A</v>
      </c>
      <c r="O18" s="95" t="e">
        <f t="shared" si="0"/>
        <v>#N/A</v>
      </c>
      <c r="P18" s="96" t="e">
        <f t="shared" si="5"/>
        <v>#N/A</v>
      </c>
      <c r="Q18" s="97" cm="1">
        <f t="array" ref="Q18">_xlfn.IFNA(INDEX(نهایی!CW:CW,MATCH(D18,نهایی!B:B,0),0)/60,INDEX(نهایی!CW:CW,MATCH(C18,نهایی!B:B,0),0)/60)</f>
        <v>148.83333333333334</v>
      </c>
      <c r="R18" s="97" t="e">
        <f t="shared" si="1"/>
        <v>#N/A</v>
      </c>
      <c r="S18" s="161">
        <f>_xlfn.IFNA(INDEX(نهایی!CX:CX,MATCH(D18,نهایی!B:B,0)),INDEX(نهایی!CX:CX,MATCH(C18,نهایی!B:B,0)))</f>
        <v>151.07704309273694</v>
      </c>
      <c r="T18" s="96" t="str">
        <f t="shared" si="6"/>
        <v/>
      </c>
      <c r="U18" s="97">
        <f t="shared" si="7"/>
        <v>2.2437097594036004</v>
      </c>
      <c r="V18" s="96" t="e">
        <f t="shared" si="2"/>
        <v>#N/A</v>
      </c>
      <c r="W18" s="97" t="e">
        <f t="shared" si="3"/>
        <v>#N/A</v>
      </c>
      <c r="X18" s="96" t="e">
        <f t="shared" si="8"/>
        <v>#N/A</v>
      </c>
      <c r="Y18" s="94" t="e">
        <f t="shared" si="4"/>
        <v>#N/A</v>
      </c>
      <c r="Z18" s="27" t="e">
        <f>VLOOKUP(C18,نهایی!B:B,1,0)</f>
        <v>#N/A</v>
      </c>
      <c r="AA18" s="27">
        <f>VLOOKUP(D18,نهایی!B:B,1,0)</f>
        <v>14304</v>
      </c>
    </row>
    <row r="19" spans="1:28" x14ac:dyDescent="0.25">
      <c r="A19" s="93" t="s">
        <v>353</v>
      </c>
      <c r="B19" s="93"/>
      <c r="C19" s="93">
        <f>_xlfn.XLOOKUP(D19,'کارکرد اداری'!$C$3:$C$106,'کارکرد اداری'!$B$3:$B$106,0,1)</f>
        <v>1066</v>
      </c>
      <c r="D19" s="98">
        <v>14865</v>
      </c>
      <c r="E19" s="93" t="s">
        <v>408</v>
      </c>
      <c r="F19" s="93"/>
      <c r="G19" s="98" t="str">
        <f>_xlfn.IFNA(_xlfn.XLOOKUP(D19,'کارکرد اداری'!$C$4:$C$204,'کارکرد اداری'!$N$4:$N$204,"0",0),_xlfn.XLOOKUP(C19,'کارکرد اداری'!$C$4:$C$204,'کارکرد اداری'!$N$4:$N$204,"0",0))</f>
        <v>0</v>
      </c>
      <c r="H19" s="98">
        <f>_xlfn.XLOOKUP(D19,'کارکرد اداری'!$C$4:$C$204,'کارکرد اداری'!$K$4:$K$204,0,1)</f>
        <v>0</v>
      </c>
      <c r="I19" s="98">
        <f>_xlfn.XLOOKUP(D19,'کارکرد اداری'!$C$4:$C$204,'کارکرد اداری'!$I$4:$I$204,0,1)</f>
        <v>0</v>
      </c>
      <c r="J19" s="164" t="e" cm="1">
        <f t="array" ref="J19">_xlfn.IFNA(INDEX('کارکرد اداری'!J:J,MATCH(C19,'کارکرد اداری'!B:B,0),0),INDEX('کارکرد اداری'!J:J,MATCH(D19,'کارکرد اداری'!C:C,0),0))</f>
        <v>#N/A</v>
      </c>
      <c r="K19" s="164" t="e" cm="1">
        <f t="array" ref="K19">_xlfn.IFNA(INDEX('کارکرد اداری'!R:R,MATCH(C19,'کارکرد اداری'!B:B,0),0),INDEX('کارکرد اداری'!R:R,MATCH(D19,'کارکرد اداری'!C:C,0),0))</f>
        <v>#N/A</v>
      </c>
      <c r="L19" s="164" t="e" cm="1">
        <f t="array" ref="L19">_xlfn.IFNA(INDEX('کارکرد اداری'!S:S,MATCH(C19,'کارکرد اداری'!B:B,0),0),INDEX('کارکرد اداری'!S:S,MATCH(D19,'کارکرد اداری'!C:C,0),0))</f>
        <v>#N/A</v>
      </c>
      <c r="M19" s="164" t="e" cm="1">
        <f t="array" ref="M19">_xlfn.IFNA(INDEX('کارکرد اداری'!P:P,MATCH(C19,'کارکرد اداری'!B:B,0),0),INDEX('کارکرد اداری'!P:P,MATCH(D19,'کارکرد اداری'!C:C,0),0))</f>
        <v>#N/A</v>
      </c>
      <c r="N19" s="164" t="e" cm="1">
        <f t="array" ref="N19">_xlfn.IFNA(INDEX('کارکرد اداری'!Q:Q,MATCH(C19,'کارکرد اداری'!B:B,0),0),INDEX('کارکرد اداری'!Q:Q,MATCH(D19,'کارکرد اداری'!C:C,0),0))</f>
        <v>#N/A</v>
      </c>
      <c r="O19" s="95" t="e">
        <f t="shared" si="0"/>
        <v>#N/A</v>
      </c>
      <c r="P19" s="96" t="e">
        <f t="shared" si="5"/>
        <v>#N/A</v>
      </c>
      <c r="Q19" s="97" cm="1">
        <f t="array" ref="Q19">_xlfn.IFNA(INDEX(نهایی!CW:CW,MATCH(D19,نهایی!B:B,0),0)/60,INDEX(نهایی!CW:CW,MATCH(C19,نهایی!B:B,0),0)/60)</f>
        <v>129.33333333333334</v>
      </c>
      <c r="R19" s="97" t="e">
        <f t="shared" si="1"/>
        <v>#N/A</v>
      </c>
      <c r="S19" s="161">
        <f>_xlfn.IFNA(INDEX(نهایی!CX:CX,MATCH(D19,نهایی!B:B,0)),INDEX(نهایی!CX:CX,MATCH(C19,نهایی!B:B,0)))</f>
        <v>131.40934021541915</v>
      </c>
      <c r="T19" s="96" t="str">
        <f t="shared" si="6"/>
        <v/>
      </c>
      <c r="U19" s="97">
        <f t="shared" si="7"/>
        <v>2.0760068820858066</v>
      </c>
      <c r="V19" s="96" t="e">
        <f t="shared" si="2"/>
        <v>#N/A</v>
      </c>
      <c r="W19" s="97" t="e">
        <f t="shared" si="3"/>
        <v>#N/A</v>
      </c>
      <c r="X19" s="96" t="e">
        <f t="shared" si="8"/>
        <v>#N/A</v>
      </c>
      <c r="Y19" s="94" t="e">
        <f t="shared" si="4"/>
        <v>#N/A</v>
      </c>
      <c r="Z19" s="27">
        <f>VLOOKUP(C19,نهایی!B:B,1,0)</f>
        <v>1066</v>
      </c>
      <c r="AA19" s="27" t="e">
        <f>VLOOKUP(D19,نهایی!B:B,1,0)</f>
        <v>#N/A</v>
      </c>
    </row>
    <row r="20" spans="1:28" s="71" customFormat="1" x14ac:dyDescent="0.25">
      <c r="A20" s="93"/>
      <c r="B20" s="93"/>
      <c r="C20" s="93">
        <f>_xlfn.XLOOKUP(D20,'کارکرد اداری'!$C$3:$C$106,'کارکرد اداری'!$B$3:$B$106,0,1)</f>
        <v>326</v>
      </c>
      <c r="D20" s="100">
        <v>14340</v>
      </c>
      <c r="E20" s="93" t="s">
        <v>293</v>
      </c>
      <c r="F20" s="127"/>
      <c r="G20" s="98" t="str">
        <f>_xlfn.IFNA(_xlfn.XLOOKUP(D20,'کارکرد اداری'!$C$4:$C$204,'کارکرد اداری'!$N$4:$N$204,"0",0),_xlfn.XLOOKUP(C20,'کارکرد اداری'!$C$4:$C$204,'کارکرد اداری'!$N$4:$N$204,"0",0))</f>
        <v>0</v>
      </c>
      <c r="H20" s="98">
        <f>_xlfn.XLOOKUP(D20,'کارکرد اداری'!$C$4:$C$204,'کارکرد اداری'!$K$4:$K$204,0,1)</f>
        <v>0</v>
      </c>
      <c r="I20" s="98">
        <f>_xlfn.XLOOKUP(D20,'کارکرد اداری'!$C$4:$C$204,'کارکرد اداری'!$I$4:$I$204,0,1)</f>
        <v>0</v>
      </c>
      <c r="J20" s="164" t="e" cm="1">
        <f t="array" ref="J20">_xlfn.IFNA(INDEX('کارکرد اداری'!J:J,MATCH(C20,'کارکرد اداری'!B:B,0),0),INDEX('کارکرد اداری'!J:J,MATCH(D20,'کارکرد اداری'!C:C,0),0))</f>
        <v>#N/A</v>
      </c>
      <c r="K20" s="164" t="e" cm="1">
        <f t="array" ref="K20">_xlfn.IFNA(INDEX('کارکرد اداری'!R:R,MATCH(C20,'کارکرد اداری'!B:B,0),0),INDEX('کارکرد اداری'!R:R,MATCH(D20,'کارکرد اداری'!C:C,0),0))</f>
        <v>#N/A</v>
      </c>
      <c r="L20" s="164" t="e" cm="1">
        <f t="array" ref="L20">_xlfn.IFNA(INDEX('کارکرد اداری'!S:S,MATCH(C20,'کارکرد اداری'!B:B,0),0),INDEX('کارکرد اداری'!S:S,MATCH(D20,'کارکرد اداری'!C:C,0),0))</f>
        <v>#N/A</v>
      </c>
      <c r="M20" s="164" t="e" cm="1">
        <f t="array" ref="M20">_xlfn.IFNA(INDEX('کارکرد اداری'!P:P,MATCH(C20,'کارکرد اداری'!B:B,0),0),INDEX('کارکرد اداری'!P:P,MATCH(D20,'کارکرد اداری'!C:C,0),0))</f>
        <v>#N/A</v>
      </c>
      <c r="N20" s="164" t="e" cm="1">
        <f t="array" ref="N20">_xlfn.IFNA(INDEX('کارکرد اداری'!Q:Q,MATCH(C20,'کارکرد اداری'!B:B,0),0),INDEX('کارکرد اداری'!Q:Q,MATCH(D20,'کارکرد اداری'!C:C,0),0))</f>
        <v>#N/A</v>
      </c>
      <c r="O20" s="100" t="e">
        <f t="shared" si="0"/>
        <v>#N/A</v>
      </c>
      <c r="P20" s="96" t="e">
        <f t="shared" si="5"/>
        <v>#N/A</v>
      </c>
      <c r="Q20" s="97" cm="1">
        <f t="array" ref="Q20">_xlfn.IFNA(INDEX(نهایی!CW:CW,MATCH(D20,نهایی!B:B,0),0)/60,INDEX(نهایی!CW:CW,MATCH(C20,نهایی!B:B,0),0)/60)</f>
        <v>147.33333333333334</v>
      </c>
      <c r="R20" s="97" t="e">
        <f t="shared" si="1"/>
        <v>#N/A</v>
      </c>
      <c r="S20" s="161">
        <f>_xlfn.IFNA(INDEX(نهایی!CX:CX,MATCH(D20,نهایی!B:B,0)),INDEX(نهایی!CX:CX,MATCH(C20,نهایی!B:B,0)))</f>
        <v>149.58700054322537</v>
      </c>
      <c r="T20" s="96" t="str">
        <f t="shared" si="6"/>
        <v/>
      </c>
      <c r="U20" s="97">
        <f t="shared" si="7"/>
        <v>2.2536672098920292</v>
      </c>
      <c r="V20" s="96" t="e">
        <f t="shared" si="2"/>
        <v>#N/A</v>
      </c>
      <c r="W20" s="97" t="e">
        <f t="shared" si="3"/>
        <v>#N/A</v>
      </c>
      <c r="X20" s="96" t="e">
        <f t="shared" si="8"/>
        <v>#N/A</v>
      </c>
      <c r="Y20" s="94" t="e">
        <f t="shared" si="4"/>
        <v>#N/A</v>
      </c>
      <c r="Z20" s="27" t="e">
        <f>VLOOKUP(C20,نهایی!B:B,1,0)</f>
        <v>#N/A</v>
      </c>
      <c r="AA20" s="27">
        <f>VLOOKUP(D20,نهایی!B:B,1,0)</f>
        <v>14340</v>
      </c>
      <c r="AB20" s="173"/>
    </row>
    <row r="21" spans="1:28" ht="16.5" customHeight="1" x14ac:dyDescent="0.25">
      <c r="A21" s="93"/>
      <c r="B21" s="93"/>
      <c r="C21" s="93">
        <f>_xlfn.XLOOKUP(D21,'کارکرد اداری'!$C$3:$C$106,'کارکرد اداری'!$B$3:$B$106,0,1)</f>
        <v>920</v>
      </c>
      <c r="D21" s="100">
        <v>14718</v>
      </c>
      <c r="E21" s="93" t="s">
        <v>379</v>
      </c>
      <c r="F21" s="127"/>
      <c r="G21" s="98" t="str">
        <f>_xlfn.IFNA(_xlfn.XLOOKUP(D21,'کارکرد اداری'!$C$4:$C$204,'کارکرد اداری'!$N$4:$N$204,"0",0),_xlfn.XLOOKUP(C21,'کارکرد اداری'!$C$4:$C$204,'کارکرد اداری'!$N$4:$N$204,"0",0))</f>
        <v>0</v>
      </c>
      <c r="H21" s="98">
        <f>_xlfn.XLOOKUP(D21,'کارکرد اداری'!$C$4:$C$204,'کارکرد اداری'!$K$4:$K$204,0,1)</f>
        <v>0</v>
      </c>
      <c r="I21" s="98">
        <f>_xlfn.XLOOKUP(D21,'کارکرد اداری'!$C$4:$C$204,'کارکرد اداری'!$I$4:$I$204,0,1)</f>
        <v>0</v>
      </c>
      <c r="J21" s="164" t="e" cm="1">
        <f t="array" ref="J21">_xlfn.IFNA(INDEX('کارکرد اداری'!J:J,MATCH(C21,'کارکرد اداری'!B:B,0),0),INDEX('کارکرد اداری'!J:J,MATCH(D21,'کارکرد اداری'!C:C,0),0))</f>
        <v>#N/A</v>
      </c>
      <c r="K21" s="164" t="e" cm="1">
        <f t="array" ref="K21">_xlfn.IFNA(INDEX('کارکرد اداری'!R:R,MATCH(C21,'کارکرد اداری'!B:B,0),0),INDEX('کارکرد اداری'!R:R,MATCH(D21,'کارکرد اداری'!C:C,0),0))</f>
        <v>#N/A</v>
      </c>
      <c r="L21" s="164" t="e" cm="1">
        <f t="array" ref="L21">_xlfn.IFNA(INDEX('کارکرد اداری'!S:S,MATCH(C21,'کارکرد اداری'!B:B,0),0),INDEX('کارکرد اداری'!S:S,MATCH(D21,'کارکرد اداری'!C:C,0),0))</f>
        <v>#N/A</v>
      </c>
      <c r="M21" s="164" t="e" cm="1">
        <f t="array" ref="M21">_xlfn.IFNA(INDEX('کارکرد اداری'!P:P,MATCH(C21,'کارکرد اداری'!B:B,0),0),INDEX('کارکرد اداری'!P:P,MATCH(D21,'کارکرد اداری'!C:C,0),0))</f>
        <v>#N/A</v>
      </c>
      <c r="N21" s="164" t="e" cm="1">
        <f t="array" ref="N21">_xlfn.IFNA(INDEX('کارکرد اداری'!Q:Q,MATCH(C21,'کارکرد اداری'!B:B,0),0),INDEX('کارکرد اداری'!Q:Q,MATCH(D21,'کارکرد اداری'!C:C,0),0))</f>
        <v>#N/A</v>
      </c>
      <c r="O21" s="95" t="e">
        <f t="shared" si="0"/>
        <v>#N/A</v>
      </c>
      <c r="P21" s="96" t="e">
        <f t="shared" si="5"/>
        <v>#N/A</v>
      </c>
      <c r="Q21" s="97" cm="1">
        <f t="array" ref="Q21">_xlfn.IFNA(INDEX(نهایی!CW:CW,MATCH(D21,نهایی!B:B,0),0)/60,INDEX(نهایی!CW:CW,MATCH(C21,نهایی!B:B,0),0)/60)</f>
        <v>147.33333333333334</v>
      </c>
      <c r="R21" s="97" t="e">
        <f t="shared" si="1"/>
        <v>#N/A</v>
      </c>
      <c r="S21" s="161">
        <f>_xlfn.IFNA(INDEX(نهایی!CX:CX,MATCH(D21,نهایی!B:B,0)),INDEX(نهایی!CX:CX,MATCH(C21,نهایی!B:B,0)))</f>
        <v>149.12389388313466</v>
      </c>
      <c r="T21" s="96" t="str">
        <f t="shared" si="6"/>
        <v/>
      </c>
      <c r="U21" s="97">
        <f t="shared" si="7"/>
        <v>1.7905605498013131</v>
      </c>
      <c r="V21" s="96" t="e">
        <f t="shared" si="2"/>
        <v>#N/A</v>
      </c>
      <c r="W21" s="97" t="e">
        <f t="shared" si="3"/>
        <v>#N/A</v>
      </c>
      <c r="X21" s="96" t="e">
        <f t="shared" si="8"/>
        <v>#N/A</v>
      </c>
      <c r="Y21" s="94" t="e">
        <f t="shared" si="4"/>
        <v>#N/A</v>
      </c>
      <c r="Z21" s="27" t="e">
        <f>VLOOKUP(C21,نهایی!B:B,1,0)</f>
        <v>#N/A</v>
      </c>
      <c r="AA21" s="27">
        <f>VLOOKUP(D21,نهایی!B:B,1,0)</f>
        <v>14718</v>
      </c>
    </row>
    <row r="22" spans="1:28" x14ac:dyDescent="0.25">
      <c r="A22" s="93" t="s">
        <v>414</v>
      </c>
      <c r="B22" s="93"/>
      <c r="C22" s="93">
        <f>_xlfn.XLOOKUP(D22,'کارکرد اداری'!$C$3:$C$106,'کارکرد اداری'!$B$3:$B$106,0,1)</f>
        <v>709</v>
      </c>
      <c r="D22" s="128">
        <v>14140</v>
      </c>
      <c r="E22" s="127" t="s">
        <v>373</v>
      </c>
      <c r="F22" s="127"/>
      <c r="G22" s="98" t="str">
        <f>_xlfn.IFNA(_xlfn.XLOOKUP(D22,'کارکرد اداری'!$C$4:$C$204,'کارکرد اداری'!$N$4:$N$204,"0",0),_xlfn.XLOOKUP(C22,'کارکرد اداری'!$C$4:$C$204,'کارکرد اداری'!$N$4:$N$204,"0",0))</f>
        <v>0</v>
      </c>
      <c r="H22" s="98">
        <f>_xlfn.XLOOKUP(D22,'کارکرد اداری'!$C$4:$C$204,'کارکرد اداری'!$K$4:$K$204,0,1)</f>
        <v>0</v>
      </c>
      <c r="I22" s="98">
        <f>_xlfn.XLOOKUP(D22,'کارکرد اداری'!$C$4:$C$204,'کارکرد اداری'!$I$4:$I$204,0,1)</f>
        <v>0</v>
      </c>
      <c r="J22" s="164" t="e" cm="1">
        <f t="array" ref="J22">_xlfn.IFNA(INDEX('کارکرد اداری'!J:J,MATCH(C22,'کارکرد اداری'!B:B,0),0),INDEX('کارکرد اداری'!J:J,MATCH(D22,'کارکرد اداری'!C:C,0),0))</f>
        <v>#N/A</v>
      </c>
      <c r="K22" s="164" t="e" cm="1">
        <f t="array" ref="K22">_xlfn.IFNA(INDEX('کارکرد اداری'!R:R,MATCH(C22,'کارکرد اداری'!B:B,0),0),INDEX('کارکرد اداری'!R:R,MATCH(D22,'کارکرد اداری'!C:C,0),0))</f>
        <v>#N/A</v>
      </c>
      <c r="L22" s="164" t="e" cm="1">
        <f t="array" ref="L22">_xlfn.IFNA(INDEX('کارکرد اداری'!S:S,MATCH(C22,'کارکرد اداری'!B:B,0),0),INDEX('کارکرد اداری'!S:S,MATCH(D22,'کارکرد اداری'!C:C,0),0))</f>
        <v>#N/A</v>
      </c>
      <c r="M22" s="164" t="e" cm="1">
        <f t="array" ref="M22">_xlfn.IFNA(INDEX('کارکرد اداری'!P:P,MATCH(C22,'کارکرد اداری'!B:B,0),0),INDEX('کارکرد اداری'!P:P,MATCH(D22,'کارکرد اداری'!C:C,0),0))</f>
        <v>#N/A</v>
      </c>
      <c r="N22" s="164" t="e" cm="1">
        <f t="array" ref="N22">_xlfn.IFNA(INDEX('کارکرد اداری'!Q:Q,MATCH(C22,'کارکرد اداری'!B:B,0),0),INDEX('کارکرد اداری'!Q:Q,MATCH(D22,'کارکرد اداری'!C:C,0),0))</f>
        <v>#N/A</v>
      </c>
      <c r="O22" s="95" t="e">
        <f t="shared" si="0"/>
        <v>#N/A</v>
      </c>
      <c r="P22" s="96" t="e">
        <f t="shared" si="5"/>
        <v>#N/A</v>
      </c>
      <c r="Q22" s="97" cm="1">
        <f t="array" ref="Q22">_xlfn.IFNA(INDEX(نهایی!CW:CW,MATCH(D22,نهایی!B:B,0),0)/60,INDEX(نهایی!CW:CW,MATCH(C22,نهایی!B:B,0),0)/60)</f>
        <v>178.33333333333334</v>
      </c>
      <c r="R22" s="97" t="e">
        <f t="shared" si="1"/>
        <v>#N/A</v>
      </c>
      <c r="S22" s="161">
        <f>_xlfn.IFNA(INDEX(نهایی!CX:CX,MATCH(D22,نهایی!B:B,0)),INDEX(نهایی!CX:CX,MATCH(C22,نهایی!B:B,0)))</f>
        <v>179.30392156862746</v>
      </c>
      <c r="T22" s="96" t="str">
        <f t="shared" si="6"/>
        <v/>
      </c>
      <c r="U22" s="97">
        <f t="shared" si="7"/>
        <v>0.97058823529411598</v>
      </c>
      <c r="V22" s="96" t="e">
        <f t="shared" si="2"/>
        <v>#N/A</v>
      </c>
      <c r="W22" s="97" t="e">
        <f t="shared" si="3"/>
        <v>#N/A</v>
      </c>
      <c r="X22" s="96" t="e">
        <f t="shared" si="8"/>
        <v>#N/A</v>
      </c>
      <c r="Y22" s="94" t="e">
        <f t="shared" si="4"/>
        <v>#N/A</v>
      </c>
      <c r="Z22" s="27" t="e">
        <f>VLOOKUP(C22,نهایی!B:B,1,0)</f>
        <v>#N/A</v>
      </c>
      <c r="AA22" s="27">
        <f>VLOOKUP(D22,نهایی!B:B,1,0)</f>
        <v>14140</v>
      </c>
    </row>
    <row r="23" spans="1:28" x14ac:dyDescent="0.25">
      <c r="A23" s="127"/>
      <c r="B23" s="127"/>
      <c r="C23" s="93">
        <f>_xlfn.XLOOKUP(D23,'کارکرد اداری'!$C$3:$C$106,'کارکرد اداری'!$B$3:$B$106,0,1)</f>
        <v>106</v>
      </c>
      <c r="D23" s="128">
        <v>14226</v>
      </c>
      <c r="E23" s="127" t="s">
        <v>290</v>
      </c>
      <c r="F23" s="131"/>
      <c r="G23" s="98" t="str">
        <f>_xlfn.IFNA(_xlfn.XLOOKUP(D23,'کارکرد اداری'!$C$4:$C$204,'کارکرد اداری'!$N$4:$N$204,"0",0),_xlfn.XLOOKUP(C23,'کارکرد اداری'!$C$4:$C$204,'کارکرد اداری'!$N$4:$N$204,"0",0))</f>
        <v>0</v>
      </c>
      <c r="H23" s="98">
        <f>_xlfn.XLOOKUP(D23,'کارکرد اداری'!$C$4:$C$204,'کارکرد اداری'!$K$4:$K$204,0,1)</f>
        <v>0</v>
      </c>
      <c r="I23" s="98">
        <f>_xlfn.XLOOKUP(D23,'کارکرد اداری'!$C$4:$C$204,'کارکرد اداری'!$I$4:$I$204,0,1)</f>
        <v>0</v>
      </c>
      <c r="J23" s="164" t="e" cm="1">
        <f t="array" ref="J23">_xlfn.IFNA(INDEX('کارکرد اداری'!J:J,MATCH(C23,'کارکرد اداری'!B:B,0),0),INDEX('کارکرد اداری'!J:J,MATCH(D23,'کارکرد اداری'!C:C,0),0))</f>
        <v>#N/A</v>
      </c>
      <c r="K23" s="164" t="e" cm="1">
        <f t="array" ref="K23">_xlfn.IFNA(INDEX('کارکرد اداری'!R:R,MATCH(C23,'کارکرد اداری'!B:B,0),0),INDEX('کارکرد اداری'!R:R,MATCH(D23,'کارکرد اداری'!C:C,0),0))</f>
        <v>#N/A</v>
      </c>
      <c r="L23" s="164" t="e" cm="1">
        <f t="array" ref="L23">_xlfn.IFNA(INDEX('کارکرد اداری'!S:S,MATCH(C23,'کارکرد اداری'!B:B,0),0),INDEX('کارکرد اداری'!S:S,MATCH(D23,'کارکرد اداری'!C:C,0),0))</f>
        <v>#N/A</v>
      </c>
      <c r="M23" s="164" t="e" cm="1">
        <f t="array" ref="M23">_xlfn.IFNA(INDEX('کارکرد اداری'!P:P,MATCH(C23,'کارکرد اداری'!B:B,0),0),INDEX('کارکرد اداری'!P:P,MATCH(D23,'کارکرد اداری'!C:C,0),0))</f>
        <v>#N/A</v>
      </c>
      <c r="N23" s="164" t="e" cm="1">
        <f t="array" ref="N23">_xlfn.IFNA(INDEX('کارکرد اداری'!Q:Q,MATCH(C23,'کارکرد اداری'!B:B,0),0),INDEX('کارکرد اداری'!Q:Q,MATCH(D23,'کارکرد اداری'!C:C,0),0))</f>
        <v>#N/A</v>
      </c>
      <c r="O23" s="95" t="e">
        <f t="shared" si="0"/>
        <v>#N/A</v>
      </c>
      <c r="P23" s="101" t="e">
        <f t="shared" si="5"/>
        <v>#N/A</v>
      </c>
      <c r="Q23" s="97" cm="1">
        <f t="array" ref="Q23">_xlfn.IFNA(INDEX(نهایی!CW:CW,MATCH(D23,نهایی!B:B,0),0)/60,INDEX(نهایی!CW:CW,MATCH(C23,نهایی!B:B,0),0)/60)</f>
        <v>160.66666666666666</v>
      </c>
      <c r="R23" s="97" t="e">
        <f t="shared" si="1"/>
        <v>#N/A</v>
      </c>
      <c r="S23" s="161">
        <f>_xlfn.IFNA(INDEX(نهایی!CX:CX,MATCH(D23,نهایی!B:B,0)),INDEX(نهایی!CX:CX,MATCH(C23,نهایی!B:B,0)))</f>
        <v>162.1772786839891</v>
      </c>
      <c r="T23" s="96" t="str">
        <f t="shared" si="6"/>
        <v/>
      </c>
      <c r="U23" s="97">
        <f t="shared" si="7"/>
        <v>1.510612017322444</v>
      </c>
      <c r="V23" s="96" t="e">
        <f t="shared" si="2"/>
        <v>#N/A</v>
      </c>
      <c r="W23" s="97" t="e">
        <f t="shared" si="3"/>
        <v>#N/A</v>
      </c>
      <c r="X23" s="96" t="e">
        <f t="shared" si="8"/>
        <v>#N/A</v>
      </c>
      <c r="Y23" s="94" t="e">
        <f t="shared" si="4"/>
        <v>#N/A</v>
      </c>
      <c r="Z23" s="27" t="e">
        <f>VLOOKUP(C23,نهایی!B:B,1,0)</f>
        <v>#N/A</v>
      </c>
      <c r="AA23" s="27">
        <f>VLOOKUP(D23,نهایی!B:B,1,0)</f>
        <v>14226</v>
      </c>
    </row>
    <row r="24" spans="1:28" x14ac:dyDescent="0.25">
      <c r="A24" s="93"/>
      <c r="B24" s="93"/>
      <c r="C24" s="93">
        <f>_xlfn.XLOOKUP(D24,'کارکرد اداری'!$C$3:$C$106,'کارکرد اداری'!$B$3:$B$106,0,1)</f>
        <v>178</v>
      </c>
      <c r="D24" s="100">
        <v>14231</v>
      </c>
      <c r="E24" s="93" t="s">
        <v>205</v>
      </c>
      <c r="F24" s="105"/>
      <c r="G24" s="98" t="str">
        <f>_xlfn.IFNA(_xlfn.XLOOKUP(D24,'کارکرد اداری'!$C$4:$C$204,'کارکرد اداری'!$N$4:$N$204,"0",0),_xlfn.XLOOKUP(C24,'کارکرد اداری'!$C$4:$C$204,'کارکرد اداری'!$N$4:$N$204,"0",0))</f>
        <v>0</v>
      </c>
      <c r="H24" s="98">
        <f>_xlfn.XLOOKUP(D24,'کارکرد اداری'!$C$4:$C$204,'کارکرد اداری'!$K$4:$K$204,0,1)</f>
        <v>0</v>
      </c>
      <c r="I24" s="98">
        <f>_xlfn.XLOOKUP(D24,'کارکرد اداری'!$C$4:$C$204,'کارکرد اداری'!$I$4:$I$204,0,1)</f>
        <v>0</v>
      </c>
      <c r="J24" s="164" t="e" cm="1">
        <f t="array" ref="J24">_xlfn.IFNA(INDEX('کارکرد اداری'!J:J,MATCH(C24,'کارکرد اداری'!B:B,0),0),INDEX('کارکرد اداری'!J:J,MATCH(D24,'کارکرد اداری'!C:C,0),0))</f>
        <v>#N/A</v>
      </c>
      <c r="K24" s="164" t="e" cm="1">
        <f t="array" ref="K24">_xlfn.IFNA(INDEX('کارکرد اداری'!R:R,MATCH(C24,'کارکرد اداری'!B:B,0),0),INDEX('کارکرد اداری'!R:R,MATCH(D24,'کارکرد اداری'!C:C,0),0))</f>
        <v>#N/A</v>
      </c>
      <c r="L24" s="164" t="e" cm="1">
        <f t="array" ref="L24">_xlfn.IFNA(INDEX('کارکرد اداری'!S:S,MATCH(C24,'کارکرد اداری'!B:B,0),0),INDEX('کارکرد اداری'!S:S,MATCH(D24,'کارکرد اداری'!C:C,0),0))</f>
        <v>#N/A</v>
      </c>
      <c r="M24" s="164" t="e" cm="1">
        <f t="array" ref="M24">_xlfn.IFNA(INDEX('کارکرد اداری'!P:P,MATCH(C24,'کارکرد اداری'!B:B,0),0),INDEX('کارکرد اداری'!P:P,MATCH(D24,'کارکرد اداری'!C:C,0),0))</f>
        <v>#N/A</v>
      </c>
      <c r="N24" s="164" t="e" cm="1">
        <f t="array" ref="N24">_xlfn.IFNA(INDEX('کارکرد اداری'!Q:Q,MATCH(C24,'کارکرد اداری'!B:B,0),0),INDEX('کارکرد اداری'!Q:Q,MATCH(D24,'کارکرد اداری'!C:C,0),0))</f>
        <v>#N/A</v>
      </c>
      <c r="O24" s="95" t="e">
        <f t="shared" si="0"/>
        <v>#N/A</v>
      </c>
      <c r="P24" s="101" t="e">
        <f t="shared" si="5"/>
        <v>#N/A</v>
      </c>
      <c r="Q24" s="97" cm="1">
        <f t="array" ref="Q24">_xlfn.IFNA(INDEX(نهایی!CW:CW,MATCH(D24,نهایی!B:B,0),0)/60,INDEX(نهایی!CW:CW,MATCH(C24,نهایی!B:B,0),0)/60)</f>
        <v>125</v>
      </c>
      <c r="R24" s="97" t="e">
        <f t="shared" si="1"/>
        <v>#N/A</v>
      </c>
      <c r="S24" s="161">
        <f>_xlfn.IFNA(INDEX(نهایی!CX:CX,MATCH(D24,نهایی!B:B,0)),INDEX(نهایی!CX:CX,MATCH(C24,نهایی!B:B,0)))</f>
        <v>127.99465296598433</v>
      </c>
      <c r="T24" s="96" t="str">
        <f t="shared" si="6"/>
        <v/>
      </c>
      <c r="U24" s="97">
        <f t="shared" si="7"/>
        <v>2.9946529659843293</v>
      </c>
      <c r="V24" s="96" t="e">
        <f t="shared" si="2"/>
        <v>#N/A</v>
      </c>
      <c r="W24" s="97" t="e">
        <f t="shared" si="3"/>
        <v>#N/A</v>
      </c>
      <c r="X24" s="96" t="e">
        <f t="shared" si="8"/>
        <v>#N/A</v>
      </c>
      <c r="Y24" s="94" t="e">
        <f t="shared" si="4"/>
        <v>#N/A</v>
      </c>
      <c r="Z24" s="27" t="e">
        <f>VLOOKUP(C24,نهایی!B:B,1,0)</f>
        <v>#N/A</v>
      </c>
      <c r="AA24" s="27">
        <f>VLOOKUP(D24,نهایی!B:B,1,0)</f>
        <v>14231</v>
      </c>
    </row>
    <row r="25" spans="1:28" x14ac:dyDescent="0.25">
      <c r="A25" s="93"/>
      <c r="B25" s="93"/>
      <c r="C25" s="93">
        <f>_xlfn.XLOOKUP(D25,'کارکرد اداری'!$C$3:$C$106,'کارکرد اداری'!$B$3:$B$106,0,1)</f>
        <v>887</v>
      </c>
      <c r="D25" s="100">
        <v>14703</v>
      </c>
      <c r="E25" s="93" t="s">
        <v>378</v>
      </c>
      <c r="F25" s="105"/>
      <c r="G25" s="98" t="str">
        <f>_xlfn.IFNA(_xlfn.XLOOKUP(D25,'کارکرد اداری'!$C$4:$C$204,'کارکرد اداری'!$N$4:$N$204,"0",0),_xlfn.XLOOKUP(C25,'کارکرد اداری'!$C$4:$C$204,'کارکرد اداری'!$N$4:$N$204,"0",0))</f>
        <v>0</v>
      </c>
      <c r="H25" s="98">
        <f>_xlfn.XLOOKUP(D25,'کارکرد اداری'!$C$4:$C$204,'کارکرد اداری'!$K$4:$K$204,0,1)</f>
        <v>0</v>
      </c>
      <c r="I25" s="98">
        <f>_xlfn.XLOOKUP(D25,'کارکرد اداری'!$C$4:$C$204,'کارکرد اداری'!$I$4:$I$204,0,1)</f>
        <v>0</v>
      </c>
      <c r="J25" s="164" t="e" cm="1">
        <f t="array" ref="J25">_xlfn.IFNA(INDEX('کارکرد اداری'!J:J,MATCH(C25,'کارکرد اداری'!B:B,0),0),INDEX('کارکرد اداری'!J:J,MATCH(D25,'کارکرد اداری'!C:C,0),0))</f>
        <v>#N/A</v>
      </c>
      <c r="K25" s="164" t="e" cm="1">
        <f t="array" ref="K25">_xlfn.IFNA(INDEX('کارکرد اداری'!R:R,MATCH(C25,'کارکرد اداری'!B:B,0),0),INDEX('کارکرد اداری'!R:R,MATCH(D25,'کارکرد اداری'!C:C,0),0))</f>
        <v>#N/A</v>
      </c>
      <c r="L25" s="164" t="e" cm="1">
        <f t="array" ref="L25">_xlfn.IFNA(INDEX('کارکرد اداری'!S:S,MATCH(C25,'کارکرد اداری'!B:B,0),0),INDEX('کارکرد اداری'!S:S,MATCH(D25,'کارکرد اداری'!C:C,0),0))</f>
        <v>#N/A</v>
      </c>
      <c r="M25" s="164" t="e" cm="1">
        <f t="array" ref="M25">_xlfn.IFNA(INDEX('کارکرد اداری'!P:P,MATCH(C25,'کارکرد اداری'!B:B,0),0),INDEX('کارکرد اداری'!P:P,MATCH(D25,'کارکرد اداری'!C:C,0),0))</f>
        <v>#N/A</v>
      </c>
      <c r="N25" s="164" t="e" cm="1">
        <f t="array" ref="N25">_xlfn.IFNA(INDEX('کارکرد اداری'!Q:Q,MATCH(C25,'کارکرد اداری'!B:B,0),0),INDEX('کارکرد اداری'!Q:Q,MATCH(D25,'کارکرد اداری'!C:C,0),0))</f>
        <v>#N/A</v>
      </c>
      <c r="O25" s="95" t="e">
        <f t="shared" si="0"/>
        <v>#N/A</v>
      </c>
      <c r="P25" s="101" t="e">
        <f t="shared" si="5"/>
        <v>#N/A</v>
      </c>
      <c r="Q25" s="97" cm="1">
        <f t="array" ref="Q25">_xlfn.IFNA(INDEX(نهایی!CW:CW,MATCH(D25,نهایی!B:B,0),0)/60,INDEX(نهایی!CW:CW,MATCH(C25,نهایی!B:B,0),0)/60)</f>
        <v>160.66666666666666</v>
      </c>
      <c r="R25" s="97" t="e">
        <f t="shared" si="1"/>
        <v>#N/A</v>
      </c>
      <c r="S25" s="161">
        <f>_xlfn.IFNA(INDEX(نهایی!CX:CX,MATCH(D25,نهایی!B:B,0)),INDEX(نهایی!CX:CX,MATCH(C25,نهایی!B:B,0)))</f>
        <v>161.07558533567649</v>
      </c>
      <c r="T25" s="96" t="str">
        <f t="shared" si="6"/>
        <v/>
      </c>
      <c r="U25" s="97">
        <f t="shared" si="7"/>
        <v>0.40891866900983587</v>
      </c>
      <c r="V25" s="96" t="e">
        <f t="shared" si="2"/>
        <v>#N/A</v>
      </c>
      <c r="W25" s="97" t="e">
        <f t="shared" si="3"/>
        <v>#N/A</v>
      </c>
      <c r="X25" s="96" t="e">
        <f t="shared" si="8"/>
        <v>#N/A</v>
      </c>
      <c r="Y25" s="94" t="e">
        <f t="shared" si="4"/>
        <v>#N/A</v>
      </c>
      <c r="Z25" s="27" t="e">
        <f>VLOOKUP(C25,نهایی!B:B,1,0)</f>
        <v>#N/A</v>
      </c>
      <c r="AA25" s="27">
        <f>VLOOKUP(D25,نهایی!B:B,1,0)</f>
        <v>14703</v>
      </c>
    </row>
    <row r="26" spans="1:28" x14ac:dyDescent="0.25">
      <c r="A26" s="93"/>
      <c r="B26" s="93"/>
      <c r="C26" s="93">
        <f>_xlfn.XLOOKUP(D26,'کارکرد اداری'!$C$3:$C$106,'کارکرد اداری'!$B$3:$B$106,0,1)</f>
        <v>1134</v>
      </c>
      <c r="D26" s="100">
        <v>14905</v>
      </c>
      <c r="E26" s="93" t="s">
        <v>463</v>
      </c>
      <c r="F26" s="159"/>
      <c r="G26" s="98" t="str">
        <f>_xlfn.IFNA(_xlfn.XLOOKUP(D26,'کارکرد اداری'!$C$4:$C$204,'کارکرد اداری'!$N$4:$N$204,"0",0),_xlfn.XLOOKUP(C26,'کارکرد اداری'!$C$4:$C$204,'کارکرد اداری'!$N$4:$N$204,"0",0))</f>
        <v>0</v>
      </c>
      <c r="H26" s="98">
        <f>_xlfn.XLOOKUP(D26,'کارکرد اداری'!$C$4:$C$204,'کارکرد اداری'!$K$4:$K$204,0,1)</f>
        <v>0</v>
      </c>
      <c r="I26" s="98">
        <f>_xlfn.XLOOKUP(D26,'کارکرد اداری'!$C$4:$C$204,'کارکرد اداری'!$I$4:$I$204,0,1)</f>
        <v>0</v>
      </c>
      <c r="J26" s="164" t="e" cm="1">
        <f t="array" ref="J26">_xlfn.IFNA(INDEX('کارکرد اداری'!J:J,MATCH(C26,'کارکرد اداری'!B:B,0),0),INDEX('کارکرد اداری'!J:J,MATCH(D26,'کارکرد اداری'!C:C,0),0))</f>
        <v>#N/A</v>
      </c>
      <c r="K26" s="164" t="e" cm="1">
        <f t="array" ref="K26">_xlfn.IFNA(INDEX('کارکرد اداری'!R:R,MATCH(C26,'کارکرد اداری'!B:B,0),0),INDEX('کارکرد اداری'!R:R,MATCH(D26,'کارکرد اداری'!C:C,0),0))</f>
        <v>#N/A</v>
      </c>
      <c r="L26" s="164" t="e" cm="1">
        <f t="array" ref="L26">_xlfn.IFNA(INDEX('کارکرد اداری'!S:S,MATCH(C26,'کارکرد اداری'!B:B,0),0),INDEX('کارکرد اداری'!S:S,MATCH(D26,'کارکرد اداری'!C:C,0),0))</f>
        <v>#N/A</v>
      </c>
      <c r="M26" s="164" t="e" cm="1">
        <f t="array" ref="M26">_xlfn.IFNA(INDEX('کارکرد اداری'!P:P,MATCH(C26,'کارکرد اداری'!B:B,0),0),INDEX('کارکرد اداری'!P:P,MATCH(D26,'کارکرد اداری'!C:C,0),0))</f>
        <v>#N/A</v>
      </c>
      <c r="N26" s="164" t="e" cm="1">
        <f t="array" ref="N26">_xlfn.IFNA(INDEX('کارکرد اداری'!Q:Q,MATCH(C26,'کارکرد اداری'!B:B,0),0),INDEX('کارکرد اداری'!Q:Q,MATCH(D26,'کارکرد اداری'!C:C,0),0))</f>
        <v>#N/A</v>
      </c>
      <c r="O26" s="95" t="e">
        <f t="shared" si="0"/>
        <v>#N/A</v>
      </c>
      <c r="P26" s="101" t="e">
        <f t="shared" si="5"/>
        <v>#N/A</v>
      </c>
      <c r="Q26" s="97" cm="1">
        <f t="array" ref="Q26">_xlfn.IFNA(INDEX(نهایی!CW:CW,MATCH(D26,نهایی!B:B,0),0)/60,INDEX(نهایی!CW:CW,MATCH(C26,نهایی!B:B,0),0)/60)</f>
        <v>112</v>
      </c>
      <c r="R26" s="97" t="e">
        <f t="shared" si="1"/>
        <v>#N/A</v>
      </c>
      <c r="S26" s="161">
        <f>_xlfn.IFNA(INDEX(نهایی!CX:CX,MATCH(D26,نهایی!B:B,0)),INDEX(نهایی!CX:CX,MATCH(C26,نهایی!B:B,0)))</f>
        <v>114.38273109243697</v>
      </c>
      <c r="T26" s="96" t="str">
        <f t="shared" si="6"/>
        <v/>
      </c>
      <c r="U26" s="97">
        <f t="shared" si="7"/>
        <v>2.3827310924369698</v>
      </c>
      <c r="V26" s="96" t="e">
        <f t="shared" si="2"/>
        <v>#N/A</v>
      </c>
      <c r="W26" s="97" t="e">
        <f t="shared" si="3"/>
        <v>#N/A</v>
      </c>
      <c r="X26" s="96" t="e">
        <f t="shared" si="8"/>
        <v>#N/A</v>
      </c>
      <c r="Y26" s="94" t="e">
        <f t="shared" si="4"/>
        <v>#N/A</v>
      </c>
      <c r="Z26" s="27">
        <f>VLOOKUP(C26,نهایی!B:B,1,0)</f>
        <v>1134</v>
      </c>
      <c r="AA26" s="27" t="e">
        <f>VLOOKUP(D26,نهایی!B:B,1,0)</f>
        <v>#N/A</v>
      </c>
    </row>
    <row r="27" spans="1:28" x14ac:dyDescent="0.25">
      <c r="A27" s="127"/>
      <c r="B27" s="93"/>
      <c r="C27" s="93">
        <f>_xlfn.XLOOKUP(D27,'کارکرد اداری'!$C$3:$C$106,'کارکرد اداری'!$B$3:$B$106,0,1)</f>
        <v>1087</v>
      </c>
      <c r="D27" s="128">
        <v>1087</v>
      </c>
      <c r="E27" s="127" t="s">
        <v>421</v>
      </c>
      <c r="F27" s="131"/>
      <c r="G27" s="98" t="e">
        <f>_xlfn.IFNA(_xlfn.XLOOKUP(D27,'کارکرد اداری'!$C$4:$C$204,'کارکرد اداری'!$N$4:$N$204,"0",0),_xlfn.XLOOKUP(C27,'کارکرد اداری'!$C$4:$C$204,'کارکرد اداری'!$N$4:$N$204,"0",0))</f>
        <v>#N/A</v>
      </c>
      <c r="H27" s="98">
        <f>_xlfn.XLOOKUP(D27,'کارکرد اداری'!$C$4:$C$204,'کارکرد اداری'!$K$4:$K$204,0,1)</f>
        <v>0</v>
      </c>
      <c r="I27" s="98">
        <f>_xlfn.XLOOKUP(D27,'کارکرد اداری'!$C$4:$C$204,'کارکرد اداری'!$I$4:$I$204,0,1)</f>
        <v>0</v>
      </c>
      <c r="J27" s="164" t="e" cm="1">
        <f t="array" ref="J27">_xlfn.IFNA(INDEX('کارکرد اداری'!J:J,MATCH(C27,'کارکرد اداری'!B:B,0),0),INDEX('کارکرد اداری'!J:J,MATCH(D27,'کارکرد اداری'!C:C,0),0))</f>
        <v>#N/A</v>
      </c>
      <c r="K27" s="164" t="e" cm="1">
        <f t="array" ref="K27">_xlfn.IFNA(INDEX('کارکرد اداری'!R:R,MATCH(C27,'کارکرد اداری'!B:B,0),0),INDEX('کارکرد اداری'!R:R,MATCH(D27,'کارکرد اداری'!C:C,0),0))</f>
        <v>#N/A</v>
      </c>
      <c r="L27" s="164" t="e" cm="1">
        <f t="array" ref="L27">_xlfn.IFNA(INDEX('کارکرد اداری'!S:S,MATCH(C27,'کارکرد اداری'!B:B,0),0),INDEX('کارکرد اداری'!S:S,MATCH(D27,'کارکرد اداری'!C:C,0),0))</f>
        <v>#N/A</v>
      </c>
      <c r="M27" s="164" t="e" cm="1">
        <f t="array" ref="M27">_xlfn.IFNA(INDEX('کارکرد اداری'!P:P,MATCH(C27,'کارکرد اداری'!B:B,0),0),INDEX('کارکرد اداری'!P:P,MATCH(D27,'کارکرد اداری'!C:C,0),0))</f>
        <v>#N/A</v>
      </c>
      <c r="N27" s="164" t="e" cm="1">
        <f t="array" ref="N27">_xlfn.IFNA(INDEX('کارکرد اداری'!Q:Q,MATCH(C27,'کارکرد اداری'!B:B,0),0),INDEX('کارکرد اداری'!Q:Q,MATCH(D27,'کارکرد اداری'!C:C,0),0))</f>
        <v>#N/A</v>
      </c>
      <c r="O27" s="95" t="e">
        <f t="shared" si="0"/>
        <v>#N/A</v>
      </c>
      <c r="P27" s="101" t="e">
        <f t="shared" si="5"/>
        <v>#N/A</v>
      </c>
      <c r="Q27" s="97" cm="1">
        <f t="array" ref="Q27">_xlfn.IFNA(INDEX(نهایی!CW:CW,MATCH(D27,نهایی!B:B,0),0)/60,INDEX(نهایی!CW:CW,MATCH(C27,نهایی!B:B,0),0)/60)</f>
        <v>107.33333333333333</v>
      </c>
      <c r="R27" s="97" t="e">
        <f t="shared" si="1"/>
        <v>#N/A</v>
      </c>
      <c r="S27" s="161">
        <f>_xlfn.IFNA(INDEX(نهایی!CX:CX,MATCH(D27,نهایی!B:B,0)),INDEX(نهایی!CX:CX,MATCH(C27,نهایی!B:B,0)))</f>
        <v>109.06191637226121</v>
      </c>
      <c r="T27" s="96" t="str">
        <f t="shared" si="6"/>
        <v/>
      </c>
      <c r="U27" s="97">
        <f t="shared" si="7"/>
        <v>1.72858303892788</v>
      </c>
      <c r="V27" s="96" t="e">
        <f t="shared" si="2"/>
        <v>#N/A</v>
      </c>
      <c r="W27" s="97" t="e">
        <f t="shared" si="3"/>
        <v>#N/A</v>
      </c>
      <c r="X27" s="96" t="e">
        <f t="shared" si="8"/>
        <v>#N/A</v>
      </c>
      <c r="Y27" s="94" t="e">
        <f t="shared" si="4"/>
        <v>#N/A</v>
      </c>
      <c r="Z27" s="27">
        <f>VLOOKUP(C27,نهایی!B:B,1,0)</f>
        <v>1087</v>
      </c>
      <c r="AA27" s="27">
        <f>VLOOKUP(D27,نهایی!B:B,1,0)</f>
        <v>1087</v>
      </c>
    </row>
    <row r="28" spans="1:28" x14ac:dyDescent="0.25">
      <c r="A28" s="127"/>
      <c r="B28" s="127"/>
      <c r="C28" s="93">
        <f>_xlfn.XLOOKUP(D28,'کارکرد اداری'!$C$3:$C$106,'کارکرد اداری'!$B$3:$B$106,0,1)</f>
        <v>310</v>
      </c>
      <c r="D28" s="128">
        <v>14328</v>
      </c>
      <c r="E28" s="127" t="s">
        <v>366</v>
      </c>
      <c r="F28" s="131"/>
      <c r="G28" s="98" t="str">
        <f>_xlfn.IFNA(_xlfn.XLOOKUP(D28,'کارکرد اداری'!$C$4:$C$204,'کارکرد اداری'!$N$4:$N$204,"0",0),_xlfn.XLOOKUP(C28,'کارکرد اداری'!$C$4:$C$204,'کارکرد اداری'!$N$4:$N$204,"0",0))</f>
        <v>0</v>
      </c>
      <c r="H28" s="98">
        <f>_xlfn.XLOOKUP(D28,'کارکرد اداری'!$C$4:$C$204,'کارکرد اداری'!$K$4:$K$204,0,1)</f>
        <v>0</v>
      </c>
      <c r="I28" s="98">
        <f>_xlfn.XLOOKUP(D28,'کارکرد اداری'!$C$4:$C$204,'کارکرد اداری'!$I$4:$I$204,0,1)</f>
        <v>0</v>
      </c>
      <c r="J28" s="164" t="e" cm="1">
        <f t="array" ref="J28">_xlfn.IFNA(INDEX('کارکرد اداری'!J:J,MATCH(C28,'کارکرد اداری'!B:B,0),0),INDEX('کارکرد اداری'!J:J,MATCH(D28,'کارکرد اداری'!C:C,0),0))</f>
        <v>#N/A</v>
      </c>
      <c r="K28" s="164" t="e" cm="1">
        <f t="array" ref="K28">_xlfn.IFNA(INDEX('کارکرد اداری'!R:R,MATCH(C28,'کارکرد اداری'!B:B,0),0),INDEX('کارکرد اداری'!R:R,MATCH(D28,'کارکرد اداری'!C:C,0),0))</f>
        <v>#N/A</v>
      </c>
      <c r="L28" s="164" t="e" cm="1">
        <f t="array" ref="L28">_xlfn.IFNA(INDEX('کارکرد اداری'!S:S,MATCH(C28,'کارکرد اداری'!B:B,0),0),INDEX('کارکرد اداری'!S:S,MATCH(D28,'کارکرد اداری'!C:C,0),0))</f>
        <v>#N/A</v>
      </c>
      <c r="M28" s="164" t="e" cm="1">
        <f t="array" ref="M28">_xlfn.IFNA(INDEX('کارکرد اداری'!P:P,MATCH(C28,'کارکرد اداری'!B:B,0),0),INDEX('کارکرد اداری'!P:P,MATCH(D28,'کارکرد اداری'!C:C,0),0))</f>
        <v>#N/A</v>
      </c>
      <c r="N28" s="164" t="e" cm="1">
        <f t="array" ref="N28">_xlfn.IFNA(INDEX('کارکرد اداری'!Q:Q,MATCH(C28,'کارکرد اداری'!B:B,0),0),INDEX('کارکرد اداری'!Q:Q,MATCH(D28,'کارکرد اداری'!C:C,0),0))</f>
        <v>#N/A</v>
      </c>
      <c r="O28" s="95" t="e">
        <f t="shared" si="0"/>
        <v>#N/A</v>
      </c>
      <c r="P28" s="101" t="e">
        <f t="shared" si="5"/>
        <v>#N/A</v>
      </c>
      <c r="Q28" s="97" cm="1">
        <f t="array" ref="Q28">_xlfn.IFNA(INDEX(نهایی!CW:CW,MATCH(D28,نهایی!B:B,0),0)/60,INDEX(نهایی!CW:CW,MATCH(C28,نهایی!B:B,0),0)/60)</f>
        <v>127.5</v>
      </c>
      <c r="R28" s="97" t="e">
        <f t="shared" si="1"/>
        <v>#N/A</v>
      </c>
      <c r="S28" s="161">
        <f>_xlfn.IFNA(INDEX(نهایی!CX:CX,MATCH(D28,نهایی!B:B,0)),INDEX(نهایی!CX:CX,MATCH(C28,نهایی!B:B,0)))</f>
        <v>128.85208074356146</v>
      </c>
      <c r="T28" s="96" t="str">
        <f t="shared" si="6"/>
        <v/>
      </c>
      <c r="U28" s="97">
        <f t="shared" si="7"/>
        <v>1.3520807435614586</v>
      </c>
      <c r="V28" s="96" t="e">
        <f t="shared" si="2"/>
        <v>#N/A</v>
      </c>
      <c r="W28" s="97" t="e">
        <f t="shared" si="3"/>
        <v>#N/A</v>
      </c>
      <c r="X28" s="96" t="e">
        <f t="shared" si="8"/>
        <v>#N/A</v>
      </c>
      <c r="Y28" s="94" t="e">
        <f t="shared" si="4"/>
        <v>#N/A</v>
      </c>
      <c r="Z28" s="27" t="e">
        <f>VLOOKUP(C28,نهایی!B:B,1,0)</f>
        <v>#N/A</v>
      </c>
      <c r="AA28" s="27">
        <f>VLOOKUP(D28,نهایی!B:B,1,0)</f>
        <v>14328</v>
      </c>
    </row>
    <row r="29" spans="1:28" x14ac:dyDescent="0.25">
      <c r="A29" s="93"/>
      <c r="B29" s="93"/>
      <c r="C29" s="93">
        <v>1159</v>
      </c>
      <c r="D29" s="100">
        <v>1159</v>
      </c>
      <c r="E29" s="93" t="s">
        <v>494</v>
      </c>
      <c r="F29" s="131"/>
      <c r="G29" s="98" t="e">
        <f>_xlfn.IFNA(_xlfn.XLOOKUP(D29,'کارکرد اداری'!$C$4:$C$204,'کارکرد اداری'!$N$4:$N$204,"0",0),_xlfn.XLOOKUP(C29,'کارکرد اداری'!$C$4:$C$204,'کارکرد اداری'!$N$4:$N$204,"0",0))</f>
        <v>#N/A</v>
      </c>
      <c r="H29" s="98">
        <f>_xlfn.XLOOKUP(D29,'کارکرد اداری'!$C$4:$C$204,'کارکرد اداری'!$K$4:$K$204,0,1)</f>
        <v>0</v>
      </c>
      <c r="I29" s="98">
        <f>_xlfn.XLOOKUP(D29,'کارکرد اداری'!$C$4:$C$204,'کارکرد اداری'!$I$4:$I$204,0,1)</f>
        <v>0</v>
      </c>
      <c r="J29" s="164" t="e" cm="1">
        <f t="array" ref="J29">_xlfn.IFNA(INDEX('کارکرد اداری'!J:J,MATCH(C29,'کارکرد اداری'!B:B,0),0),INDEX('کارکرد اداری'!J:J,MATCH(D29,'کارکرد اداری'!C:C,0),0))</f>
        <v>#N/A</v>
      </c>
      <c r="K29" s="164" t="e" cm="1">
        <f t="array" ref="K29">_xlfn.IFNA(INDEX('کارکرد اداری'!R:R,MATCH(C29,'کارکرد اداری'!B:B,0),0),INDEX('کارکرد اداری'!R:R,MATCH(D29,'کارکرد اداری'!C:C,0),0))</f>
        <v>#N/A</v>
      </c>
      <c r="L29" s="164" t="e" cm="1">
        <f t="array" ref="L29">_xlfn.IFNA(INDEX('کارکرد اداری'!S:S,MATCH(C29,'کارکرد اداری'!B:B,0),0),INDEX('کارکرد اداری'!S:S,MATCH(D29,'کارکرد اداری'!C:C,0),0))</f>
        <v>#N/A</v>
      </c>
      <c r="M29" s="164" t="e" cm="1">
        <f t="array" ref="M29">_xlfn.IFNA(INDEX('کارکرد اداری'!P:P,MATCH(C29,'کارکرد اداری'!B:B,0),0),INDEX('کارکرد اداری'!P:P,MATCH(D29,'کارکرد اداری'!C:C,0),0))</f>
        <v>#N/A</v>
      </c>
      <c r="N29" s="164" t="e" cm="1">
        <f t="array" ref="N29">_xlfn.IFNA(INDEX('کارکرد اداری'!Q:Q,MATCH(C29,'کارکرد اداری'!B:B,0),0),INDEX('کارکرد اداری'!Q:Q,MATCH(D29,'کارکرد اداری'!C:C,0),0))</f>
        <v>#N/A</v>
      </c>
      <c r="O29" s="95" t="e">
        <f t="shared" si="0"/>
        <v>#N/A</v>
      </c>
      <c r="P29" s="101" t="e">
        <f t="shared" si="5"/>
        <v>#N/A</v>
      </c>
      <c r="Q29" s="97" cm="1">
        <f t="array" ref="Q29">_xlfn.IFNA(INDEX(نهایی!CW:CW,MATCH(D29,نهایی!B:B,0),0)/60,INDEX(نهایی!CW:CW,MATCH(C29,نهایی!B:B,0),0)/60)</f>
        <v>163.66666666666666</v>
      </c>
      <c r="R29" s="97" t="e">
        <f t="shared" si="1"/>
        <v>#N/A</v>
      </c>
      <c r="S29" s="161">
        <f>_xlfn.IFNA(INDEX(نهایی!CX:CX,MATCH(D29,نهایی!B:B,0)),INDEX(نهایی!CX:CX,MATCH(C29,نهایی!B:B,0)))</f>
        <v>163.95168984418078</v>
      </c>
      <c r="T29" s="96" t="str">
        <f t="shared" si="6"/>
        <v/>
      </c>
      <c r="U29" s="97">
        <f t="shared" si="7"/>
        <v>0.28502317751411965</v>
      </c>
      <c r="V29" s="96" t="e">
        <f t="shared" si="2"/>
        <v>#N/A</v>
      </c>
      <c r="W29" s="97" t="e">
        <f t="shared" si="3"/>
        <v>#N/A</v>
      </c>
      <c r="X29" s="96" t="e">
        <f t="shared" si="8"/>
        <v>#N/A</v>
      </c>
      <c r="Y29" s="94" t="e">
        <f t="shared" si="4"/>
        <v>#N/A</v>
      </c>
      <c r="Z29" s="27">
        <f>VLOOKUP(C29,نهایی!B:B,1,0)</f>
        <v>1159</v>
      </c>
      <c r="AA29" s="27">
        <f>VLOOKUP(D29,نهایی!B:B,1,0)</f>
        <v>1159</v>
      </c>
    </row>
    <row r="30" spans="1:28" x14ac:dyDescent="0.25">
      <c r="A30" s="93"/>
      <c r="B30" s="93"/>
      <c r="C30" s="93">
        <f>_xlfn.XLOOKUP(D30,'کارکرد اداری'!$C$3:$C$106,'کارکرد اداری'!$B$3:$B$106,0,1)</f>
        <v>1126</v>
      </c>
      <c r="D30" s="100">
        <v>14907</v>
      </c>
      <c r="E30" s="93" t="s">
        <v>458</v>
      </c>
      <c r="F30" s="105"/>
      <c r="G30" s="98" t="str">
        <f>_xlfn.IFNA(_xlfn.XLOOKUP(D30,'کارکرد اداری'!$C$4:$C$204,'کارکرد اداری'!$N$4:$N$204,"0",0),_xlfn.XLOOKUP(C30,'کارکرد اداری'!$C$4:$C$204,'کارکرد اداری'!$N$4:$N$204,"0",0))</f>
        <v>0</v>
      </c>
      <c r="H30" s="98">
        <f>_xlfn.XLOOKUP(D30,'کارکرد اداری'!$C$4:$C$204,'کارکرد اداری'!$K$4:$K$204,0,1)</f>
        <v>0</v>
      </c>
      <c r="I30" s="98">
        <f>_xlfn.XLOOKUP(D30,'کارکرد اداری'!$C$4:$C$204,'کارکرد اداری'!$I$4:$I$204,0,1)</f>
        <v>0</v>
      </c>
      <c r="J30" s="164" t="e" cm="1">
        <f t="array" ref="J30">_xlfn.IFNA(INDEX('کارکرد اداری'!J:J,MATCH(C30,'کارکرد اداری'!B:B,0),0),INDEX('کارکرد اداری'!J:J,MATCH(D30,'کارکرد اداری'!C:C,0),0))</f>
        <v>#N/A</v>
      </c>
      <c r="K30" s="164" t="e" cm="1">
        <f t="array" ref="K30">_xlfn.IFNA(INDEX('کارکرد اداری'!R:R,MATCH(C30,'کارکرد اداری'!B:B,0),0),INDEX('کارکرد اداری'!R:R,MATCH(D30,'کارکرد اداری'!C:C,0),0))</f>
        <v>#N/A</v>
      </c>
      <c r="L30" s="164" t="e" cm="1">
        <f t="array" ref="L30">_xlfn.IFNA(INDEX('کارکرد اداری'!S:S,MATCH(C30,'کارکرد اداری'!B:B,0),0),INDEX('کارکرد اداری'!S:S,MATCH(D30,'کارکرد اداری'!C:C,0),0))</f>
        <v>#N/A</v>
      </c>
      <c r="M30" s="164" t="e" cm="1">
        <f t="array" ref="M30">_xlfn.IFNA(INDEX('کارکرد اداری'!P:P,MATCH(C30,'کارکرد اداری'!B:B,0),0),INDEX('کارکرد اداری'!P:P,MATCH(D30,'کارکرد اداری'!C:C,0),0))</f>
        <v>#N/A</v>
      </c>
      <c r="N30" s="164" t="e" cm="1">
        <f t="array" ref="N30">_xlfn.IFNA(INDEX('کارکرد اداری'!Q:Q,MATCH(C30,'کارکرد اداری'!B:B,0),0),INDEX('کارکرد اداری'!Q:Q,MATCH(D30,'کارکرد اداری'!C:C,0),0))</f>
        <v>#N/A</v>
      </c>
      <c r="O30" s="95" t="e">
        <f t="shared" si="0"/>
        <v>#N/A</v>
      </c>
      <c r="P30" s="101" t="e">
        <f t="shared" si="5"/>
        <v>#N/A</v>
      </c>
      <c r="Q30" s="97" cm="1">
        <f t="array" ref="Q30">_xlfn.IFNA(INDEX(نهایی!CW:CW,MATCH(D30,نهایی!B:B,0),0)/60,INDEX(نهایی!CW:CW,MATCH(C30,نهایی!B:B,0),0)/60)</f>
        <v>129.33333333333334</v>
      </c>
      <c r="R30" s="97" t="e">
        <f t="shared" si="1"/>
        <v>#N/A</v>
      </c>
      <c r="S30" s="161">
        <f>_xlfn.IFNA(INDEX(نهایی!CX:CX,MATCH(D30,نهایی!B:B,0)),INDEX(نهایی!CX:CX,MATCH(C30,نهایی!B:B,0)))</f>
        <v>130.88384833557245</v>
      </c>
      <c r="T30" s="96" t="str">
        <f t="shared" si="6"/>
        <v/>
      </c>
      <c r="U30" s="97">
        <f t="shared" si="7"/>
        <v>1.5505150022391092</v>
      </c>
      <c r="V30" s="96" t="e">
        <f t="shared" si="2"/>
        <v>#N/A</v>
      </c>
      <c r="W30" s="97" t="e">
        <f t="shared" si="3"/>
        <v>#N/A</v>
      </c>
      <c r="X30" s="96" t="e">
        <f t="shared" si="8"/>
        <v>#N/A</v>
      </c>
      <c r="Y30" s="94" t="e">
        <f t="shared" si="4"/>
        <v>#N/A</v>
      </c>
      <c r="Z30" s="27">
        <f>VLOOKUP(C30,نهایی!B:B,1,0)</f>
        <v>1126</v>
      </c>
      <c r="AA30" s="27" t="e">
        <f>VLOOKUP(D30,نهایی!B:B,1,0)</f>
        <v>#N/A</v>
      </c>
    </row>
    <row r="31" spans="1:28" x14ac:dyDescent="0.25">
      <c r="A31" s="93" t="s">
        <v>353</v>
      </c>
      <c r="B31" s="93"/>
      <c r="C31" s="93">
        <f>_xlfn.XLOOKUP(D31,'کارکرد اداری'!$C$3:$C$106,'کارکرد اداری'!$B$3:$B$106,0,1)</f>
        <v>1068</v>
      </c>
      <c r="D31" s="100">
        <v>14866</v>
      </c>
      <c r="E31" s="93" t="s">
        <v>410</v>
      </c>
      <c r="F31" s="105"/>
      <c r="G31" s="98" t="str">
        <f>_xlfn.IFNA(_xlfn.XLOOKUP(D31,'کارکرد اداری'!$C$4:$C$204,'کارکرد اداری'!$N$4:$N$204,"0",0),_xlfn.XLOOKUP(C31,'کارکرد اداری'!$C$4:$C$204,'کارکرد اداری'!$N$4:$N$204,"0",0))</f>
        <v>0</v>
      </c>
      <c r="H31" s="98">
        <f>_xlfn.XLOOKUP(D31,'کارکرد اداری'!$C$4:$C$204,'کارکرد اداری'!$K$4:$K$204,0,1)</f>
        <v>0</v>
      </c>
      <c r="I31" s="98">
        <f>_xlfn.XLOOKUP(D31,'کارکرد اداری'!$C$4:$C$204,'کارکرد اداری'!$I$4:$I$204,0,1)</f>
        <v>0</v>
      </c>
      <c r="J31" s="164" t="e" cm="1">
        <f t="array" ref="J31">_xlfn.IFNA(INDEX('کارکرد اداری'!J:J,MATCH(C31,'کارکرد اداری'!B:B,0),0),INDEX('کارکرد اداری'!J:J,MATCH(D31,'کارکرد اداری'!C:C,0),0))</f>
        <v>#N/A</v>
      </c>
      <c r="K31" s="164" t="e" cm="1">
        <f t="array" ref="K31">_xlfn.IFNA(INDEX('کارکرد اداری'!R:R,MATCH(C31,'کارکرد اداری'!B:B,0),0),INDEX('کارکرد اداری'!R:R,MATCH(D31,'کارکرد اداری'!C:C,0),0))</f>
        <v>#N/A</v>
      </c>
      <c r="L31" s="164" t="e" cm="1">
        <f t="array" ref="L31">_xlfn.IFNA(INDEX('کارکرد اداری'!S:S,MATCH(C31,'کارکرد اداری'!B:B,0),0),INDEX('کارکرد اداری'!S:S,MATCH(D31,'کارکرد اداری'!C:C,0),0))</f>
        <v>#N/A</v>
      </c>
      <c r="M31" s="164" t="e" cm="1">
        <f t="array" ref="M31">_xlfn.IFNA(INDEX('کارکرد اداری'!P:P,MATCH(C31,'کارکرد اداری'!B:B,0),0),INDEX('کارکرد اداری'!P:P,MATCH(D31,'کارکرد اداری'!C:C,0),0))</f>
        <v>#N/A</v>
      </c>
      <c r="N31" s="164" t="e" cm="1">
        <f t="array" ref="N31">_xlfn.IFNA(INDEX('کارکرد اداری'!Q:Q,MATCH(C31,'کارکرد اداری'!B:B,0),0),INDEX('کارکرد اداری'!Q:Q,MATCH(D31,'کارکرد اداری'!C:C,0),0))</f>
        <v>#N/A</v>
      </c>
      <c r="O31" s="95" t="e">
        <f t="shared" si="0"/>
        <v>#N/A</v>
      </c>
      <c r="P31" s="101" t="e">
        <f t="shared" si="5"/>
        <v>#N/A</v>
      </c>
      <c r="Q31" s="97" cm="1">
        <f t="array" ref="Q31">_xlfn.IFNA(INDEX(نهایی!CW:CW,MATCH(D31,نهایی!B:B,0),0)/60,INDEX(نهایی!CW:CW,MATCH(C31,نهایی!B:B,0),0)/60)</f>
        <v>144</v>
      </c>
      <c r="R31" s="97" t="e">
        <f t="shared" si="1"/>
        <v>#N/A</v>
      </c>
      <c r="S31" s="161">
        <f>_xlfn.IFNA(INDEX(نهایی!CX:CX,MATCH(D31,نهایی!B:B,0)),INDEX(نهایی!CX:CX,MATCH(C31,نهایی!B:B,0)))</f>
        <v>144.7242311714345</v>
      </c>
      <c r="T31" s="96" t="str">
        <f t="shared" si="6"/>
        <v/>
      </c>
      <c r="U31" s="97">
        <f t="shared" si="7"/>
        <v>0.72423117143449645</v>
      </c>
      <c r="V31" s="96" t="e">
        <f t="shared" si="2"/>
        <v>#N/A</v>
      </c>
      <c r="W31" s="97" t="e">
        <f t="shared" si="3"/>
        <v>#N/A</v>
      </c>
      <c r="X31" s="96" t="e">
        <f t="shared" si="8"/>
        <v>#N/A</v>
      </c>
      <c r="Y31" s="94" t="e">
        <f t="shared" si="4"/>
        <v>#N/A</v>
      </c>
      <c r="Z31" s="27">
        <f>VLOOKUP(C31,نهایی!B:B,1,0)</f>
        <v>1068</v>
      </c>
      <c r="AA31" s="27" t="e">
        <f>VLOOKUP(D31,نهایی!B:B,1,0)</f>
        <v>#N/A</v>
      </c>
    </row>
    <row r="32" spans="1:28" x14ac:dyDescent="0.25">
      <c r="A32" s="127"/>
      <c r="B32" s="93"/>
      <c r="C32" s="93">
        <f>_xlfn.XLOOKUP(D32,'کارکرد اداری'!$C$3:$C$106,'کارکرد اداری'!$B$3:$B$106,0,1)</f>
        <v>390</v>
      </c>
      <c r="D32" s="128">
        <v>14395</v>
      </c>
      <c r="E32" s="93" t="s">
        <v>237</v>
      </c>
      <c r="F32" s="131"/>
      <c r="G32" s="98" t="str">
        <f>_xlfn.IFNA(_xlfn.XLOOKUP(D32,'کارکرد اداری'!$C$4:$C$204,'کارکرد اداری'!$N$4:$N$204,"0",0),_xlfn.XLOOKUP(C32,'کارکرد اداری'!$C$4:$C$204,'کارکرد اداری'!$N$4:$N$204,"0",0))</f>
        <v>0</v>
      </c>
      <c r="H32" s="98">
        <f>_xlfn.XLOOKUP(D32,'کارکرد اداری'!$C$4:$C$204,'کارکرد اداری'!$K$4:$K$204,0,1)</f>
        <v>0</v>
      </c>
      <c r="I32" s="98">
        <f>_xlfn.XLOOKUP(D32,'کارکرد اداری'!$C$4:$C$204,'کارکرد اداری'!$I$4:$I$204,0,1)</f>
        <v>0</v>
      </c>
      <c r="J32" s="164" t="e" cm="1">
        <f t="array" ref="J32">_xlfn.IFNA(INDEX('کارکرد اداری'!J:J,MATCH(C32,'کارکرد اداری'!B:B,0),0),INDEX('کارکرد اداری'!J:J,MATCH(D32,'کارکرد اداری'!C:C,0),0))</f>
        <v>#N/A</v>
      </c>
      <c r="K32" s="164" t="e" cm="1">
        <f t="array" ref="K32">_xlfn.IFNA(INDEX('کارکرد اداری'!R:R,MATCH(C32,'کارکرد اداری'!B:B,0),0),INDEX('کارکرد اداری'!R:R,MATCH(D32,'کارکرد اداری'!C:C,0),0))</f>
        <v>#N/A</v>
      </c>
      <c r="L32" s="164" t="e" cm="1">
        <f t="array" ref="L32">_xlfn.IFNA(INDEX('کارکرد اداری'!S:S,MATCH(C32,'کارکرد اداری'!B:B,0),0),INDEX('کارکرد اداری'!S:S,MATCH(D32,'کارکرد اداری'!C:C,0),0))</f>
        <v>#N/A</v>
      </c>
      <c r="M32" s="164" t="e" cm="1">
        <f t="array" ref="M32">_xlfn.IFNA(INDEX('کارکرد اداری'!P:P,MATCH(C32,'کارکرد اداری'!B:B,0),0),INDEX('کارکرد اداری'!P:P,MATCH(D32,'کارکرد اداری'!C:C,0),0))</f>
        <v>#N/A</v>
      </c>
      <c r="N32" s="164" t="e" cm="1">
        <f t="array" ref="N32">_xlfn.IFNA(INDEX('کارکرد اداری'!Q:Q,MATCH(C32,'کارکرد اداری'!B:B,0),0),INDEX('کارکرد اداری'!Q:Q,MATCH(D32,'کارکرد اداری'!C:C,0),0))</f>
        <v>#N/A</v>
      </c>
      <c r="O32" s="95" t="e">
        <f t="shared" si="0"/>
        <v>#N/A</v>
      </c>
      <c r="P32" s="101" t="e">
        <f t="shared" si="5"/>
        <v>#N/A</v>
      </c>
      <c r="Q32" s="97" cm="1">
        <f t="array" ref="Q32">_xlfn.IFNA(INDEX(نهایی!CW:CW,MATCH(D32,نهایی!B:B,0),0)/60,INDEX(نهایی!CW:CW,MATCH(C32,نهایی!B:B,0),0)/60)</f>
        <v>139.66666666666666</v>
      </c>
      <c r="R32" s="97" t="e">
        <f t="shared" si="1"/>
        <v>#N/A</v>
      </c>
      <c r="S32" s="161">
        <f>_xlfn.IFNA(INDEX(نهایی!CX:CX,MATCH(D32,نهایی!B:B,0)),INDEX(نهایی!CX:CX,MATCH(C32,نهایی!B:B,0)))</f>
        <v>139.48657153164709</v>
      </c>
      <c r="T32" s="96">
        <f t="shared" si="6"/>
        <v>0.18009513501957031</v>
      </c>
      <c r="U32" s="97" t="str">
        <f t="shared" si="7"/>
        <v/>
      </c>
      <c r="V32" s="96" t="e">
        <f t="shared" si="2"/>
        <v>#N/A</v>
      </c>
      <c r="W32" s="97" t="e">
        <f t="shared" si="3"/>
        <v>#N/A</v>
      </c>
      <c r="X32" s="96" t="e">
        <f t="shared" si="8"/>
        <v>#N/A</v>
      </c>
      <c r="Y32" s="94" t="e">
        <f t="shared" si="4"/>
        <v>#N/A</v>
      </c>
      <c r="Z32" s="27" t="e">
        <f>VLOOKUP(C32,نهایی!B:B,1,0)</f>
        <v>#N/A</v>
      </c>
      <c r="AA32" s="27">
        <f>VLOOKUP(D32,نهایی!B:B,1,0)</f>
        <v>14395</v>
      </c>
    </row>
    <row r="33" spans="1:28" x14ac:dyDescent="0.25">
      <c r="A33" s="93"/>
      <c r="B33" s="93"/>
      <c r="C33" s="93">
        <f>_xlfn.XLOOKUP(D33,'کارکرد اداری'!$C$3:$C$106,'کارکرد اداری'!$B$3:$B$106,0,1)</f>
        <v>1060</v>
      </c>
      <c r="D33" s="100">
        <v>14859</v>
      </c>
      <c r="E33" s="93" t="s">
        <v>406</v>
      </c>
      <c r="F33" s="105"/>
      <c r="G33" s="98" t="str">
        <f>_xlfn.IFNA(_xlfn.XLOOKUP(D33,'کارکرد اداری'!$C$4:$C$204,'کارکرد اداری'!$N$4:$N$204,"0",0),_xlfn.XLOOKUP(C33,'کارکرد اداری'!$C$4:$C$204,'کارکرد اداری'!$N$4:$N$204,"0",0))</f>
        <v>0</v>
      </c>
      <c r="H33" s="98">
        <f>_xlfn.XLOOKUP(D33,'کارکرد اداری'!$C$4:$C$204,'کارکرد اداری'!$K$4:$K$204,0,1)</f>
        <v>0</v>
      </c>
      <c r="I33" s="98">
        <f>_xlfn.XLOOKUP(D33,'کارکرد اداری'!$C$4:$C$204,'کارکرد اداری'!$I$4:$I$204,0,1)</f>
        <v>0</v>
      </c>
      <c r="J33" s="164" t="e" cm="1">
        <f t="array" ref="J33">_xlfn.IFNA(INDEX('کارکرد اداری'!J:J,MATCH(C33,'کارکرد اداری'!B:B,0),0),INDEX('کارکرد اداری'!J:J,MATCH(D33,'کارکرد اداری'!C:C,0),0))</f>
        <v>#N/A</v>
      </c>
      <c r="K33" s="164" t="e" cm="1">
        <f t="array" ref="K33">_xlfn.IFNA(INDEX('کارکرد اداری'!R:R,MATCH(C33,'کارکرد اداری'!B:B,0),0),INDEX('کارکرد اداری'!R:R,MATCH(D33,'کارکرد اداری'!C:C,0),0))</f>
        <v>#N/A</v>
      </c>
      <c r="L33" s="164" t="e" cm="1">
        <f t="array" ref="L33">_xlfn.IFNA(INDEX('کارکرد اداری'!S:S,MATCH(C33,'کارکرد اداری'!B:B,0),0),INDEX('کارکرد اداری'!S:S,MATCH(D33,'کارکرد اداری'!C:C,0),0))</f>
        <v>#N/A</v>
      </c>
      <c r="M33" s="164" t="e" cm="1">
        <f t="array" ref="M33">_xlfn.IFNA(INDEX('کارکرد اداری'!P:P,MATCH(C33,'کارکرد اداری'!B:B,0),0),INDEX('کارکرد اداری'!P:P,MATCH(D33,'کارکرد اداری'!C:C,0),0))</f>
        <v>#N/A</v>
      </c>
      <c r="N33" s="164" t="e" cm="1">
        <f t="array" ref="N33">_xlfn.IFNA(INDEX('کارکرد اداری'!Q:Q,MATCH(C33,'کارکرد اداری'!B:B,0),0),INDEX('کارکرد اداری'!Q:Q,MATCH(D33,'کارکرد اداری'!C:C,0),0))</f>
        <v>#N/A</v>
      </c>
      <c r="O33" s="95" t="e">
        <f t="shared" si="0"/>
        <v>#N/A</v>
      </c>
      <c r="P33" s="101" t="e">
        <f t="shared" si="5"/>
        <v>#N/A</v>
      </c>
      <c r="Q33" s="97" cm="1">
        <f t="array" ref="Q33">_xlfn.IFNA(INDEX(نهایی!CW:CW,MATCH(D33,نهایی!B:B,0),0)/60,INDEX(نهایی!CW:CW,MATCH(C33,نهایی!B:B,0),0)/60)</f>
        <v>133.66666666666666</v>
      </c>
      <c r="R33" s="97" t="e">
        <f t="shared" si="1"/>
        <v>#N/A</v>
      </c>
      <c r="S33" s="161">
        <f>_xlfn.IFNA(INDEX(نهایی!CX:CX,MATCH(D33,نهایی!B:B,0)),INDEX(نهایی!CX:CX,MATCH(C33,نهایی!B:B,0)))</f>
        <v>133.72542595019661</v>
      </c>
      <c r="T33" s="96" t="str">
        <f t="shared" si="6"/>
        <v/>
      </c>
      <c r="U33" s="97">
        <f t="shared" si="7"/>
        <v>5.8759283529951745E-2</v>
      </c>
      <c r="V33" s="96" t="e">
        <f t="shared" si="2"/>
        <v>#N/A</v>
      </c>
      <c r="W33" s="97" t="e">
        <f t="shared" si="3"/>
        <v>#N/A</v>
      </c>
      <c r="X33" s="96" t="e">
        <f t="shared" si="8"/>
        <v>#N/A</v>
      </c>
      <c r="Y33" s="94" t="e">
        <f t="shared" si="4"/>
        <v>#N/A</v>
      </c>
      <c r="Z33" s="27">
        <f>VLOOKUP(C33,نهایی!B:B,1,0)</f>
        <v>1060</v>
      </c>
      <c r="AA33" s="27" t="e">
        <f>VLOOKUP(D33,نهایی!B:B,1,0)</f>
        <v>#N/A</v>
      </c>
    </row>
    <row r="34" spans="1:28" x14ac:dyDescent="0.25">
      <c r="A34" s="93"/>
      <c r="B34" s="93"/>
      <c r="C34" s="93">
        <f>_xlfn.XLOOKUP(D34,'کارکرد اداری'!$C$3:$C$106,'کارکرد اداری'!$B$3:$B$106,0,1)</f>
        <v>1127</v>
      </c>
      <c r="D34" s="100">
        <v>14903</v>
      </c>
      <c r="E34" s="93" t="s">
        <v>459</v>
      </c>
      <c r="F34" s="159"/>
      <c r="G34" s="98" t="str">
        <f>_xlfn.IFNA(_xlfn.XLOOKUP(D34,'کارکرد اداری'!$C$4:$C$204,'کارکرد اداری'!$N$4:$N$204,"0",0),_xlfn.XLOOKUP(C34,'کارکرد اداری'!$C$4:$C$204,'کارکرد اداری'!$N$4:$N$204,"0",0))</f>
        <v>0</v>
      </c>
      <c r="H34" s="98">
        <f>_xlfn.XLOOKUP(D34,'کارکرد اداری'!$C$4:$C$204,'کارکرد اداری'!$K$4:$K$204,0,1)</f>
        <v>0</v>
      </c>
      <c r="I34" s="98">
        <f>_xlfn.XLOOKUP(D34,'کارکرد اداری'!$C$4:$C$204,'کارکرد اداری'!$I$4:$I$204,0,1)</f>
        <v>0</v>
      </c>
      <c r="J34" s="164" t="e" cm="1">
        <f t="array" ref="J34">_xlfn.IFNA(INDEX('کارکرد اداری'!J:J,MATCH(C34,'کارکرد اداری'!B:B,0),0),INDEX('کارکرد اداری'!J:J,MATCH(D34,'کارکرد اداری'!C:C,0),0))</f>
        <v>#N/A</v>
      </c>
      <c r="K34" s="164" t="e" cm="1">
        <f t="array" ref="K34">_xlfn.IFNA(INDEX('کارکرد اداری'!R:R,MATCH(C34,'کارکرد اداری'!B:B,0),0),INDEX('کارکرد اداری'!R:R,MATCH(D34,'کارکرد اداری'!C:C,0),0))</f>
        <v>#N/A</v>
      </c>
      <c r="L34" s="164" t="e" cm="1">
        <f t="array" ref="L34">_xlfn.IFNA(INDEX('کارکرد اداری'!S:S,MATCH(C34,'کارکرد اداری'!B:B,0),0),INDEX('کارکرد اداری'!S:S,MATCH(D34,'کارکرد اداری'!C:C,0),0))</f>
        <v>#N/A</v>
      </c>
      <c r="M34" s="164" t="e" cm="1">
        <f t="array" ref="M34">_xlfn.IFNA(INDEX('کارکرد اداری'!P:P,MATCH(C34,'کارکرد اداری'!B:B,0),0),INDEX('کارکرد اداری'!P:P,MATCH(D34,'کارکرد اداری'!C:C,0),0))</f>
        <v>#N/A</v>
      </c>
      <c r="N34" s="164" t="e" cm="1">
        <f t="array" ref="N34">_xlfn.IFNA(INDEX('کارکرد اداری'!Q:Q,MATCH(C34,'کارکرد اداری'!B:B,0),0),INDEX('کارکرد اداری'!Q:Q,MATCH(D34,'کارکرد اداری'!C:C,0),0))</f>
        <v>#N/A</v>
      </c>
      <c r="O34" s="95" t="e">
        <f t="shared" si="0"/>
        <v>#N/A</v>
      </c>
      <c r="P34" s="101" t="e">
        <f t="shared" si="5"/>
        <v>#N/A</v>
      </c>
      <c r="Q34" s="97" cm="1">
        <f t="array" ref="Q34">_xlfn.IFNA(INDEX(نهایی!CW:CW,MATCH(D34,نهایی!B:B,0),0)/60,INDEX(نهایی!CW:CW,MATCH(C34,نهایی!B:B,0),0)/60)</f>
        <v>156.33333333333334</v>
      </c>
      <c r="R34" s="97" t="e">
        <f t="shared" si="1"/>
        <v>#N/A</v>
      </c>
      <c r="S34" s="161">
        <f>_xlfn.IFNA(INDEX(نهایی!CX:CX,MATCH(D34,نهایی!B:B,0)),INDEX(نهایی!CX:CX,MATCH(C34,نهایی!B:B,0)))</f>
        <v>155.29636249318156</v>
      </c>
      <c r="T34" s="96">
        <f t="shared" si="6"/>
        <v>1.0369708401517812</v>
      </c>
      <c r="U34" s="97" t="str">
        <f t="shared" si="7"/>
        <v/>
      </c>
      <c r="V34" s="96" t="e">
        <f t="shared" si="2"/>
        <v>#N/A</v>
      </c>
      <c r="W34" s="97" t="e">
        <f t="shared" si="3"/>
        <v>#N/A</v>
      </c>
      <c r="X34" s="96" t="e">
        <f t="shared" si="8"/>
        <v>#N/A</v>
      </c>
      <c r="Y34" s="94" t="e">
        <f t="shared" si="4"/>
        <v>#N/A</v>
      </c>
      <c r="Z34" s="27">
        <f>VLOOKUP(C34,نهایی!B:B,1,0)</f>
        <v>1127</v>
      </c>
      <c r="AA34" s="27" t="e">
        <f>VLOOKUP(D34,نهایی!B:B,1,0)</f>
        <v>#N/A</v>
      </c>
    </row>
    <row r="35" spans="1:28" x14ac:dyDescent="0.25">
      <c r="A35" s="127"/>
      <c r="B35" s="127"/>
      <c r="C35" s="93">
        <f>_xlfn.XLOOKUP(D35,'کارکرد اداری'!$C$3:$C$106,'کارکرد اداری'!$B$3:$B$106,0,1)</f>
        <v>402</v>
      </c>
      <c r="D35" s="128">
        <v>14396</v>
      </c>
      <c r="E35" s="127" t="s">
        <v>239</v>
      </c>
      <c r="F35" s="131"/>
      <c r="G35" s="98" t="str">
        <f>_xlfn.IFNA(_xlfn.XLOOKUP(D35,'کارکرد اداری'!$C$4:$C$204,'کارکرد اداری'!$N$4:$N$204,"0",0),_xlfn.XLOOKUP(C35,'کارکرد اداری'!$C$4:$C$204,'کارکرد اداری'!$N$4:$N$204,"0",0))</f>
        <v>0</v>
      </c>
      <c r="H35" s="98">
        <f>_xlfn.XLOOKUP(D35,'کارکرد اداری'!$C$4:$C$204,'کارکرد اداری'!$K$4:$K$204,0,1)</f>
        <v>0</v>
      </c>
      <c r="I35" s="98">
        <f>_xlfn.XLOOKUP(D35,'کارکرد اداری'!$C$4:$C$204,'کارکرد اداری'!$I$4:$I$204,0,1)</f>
        <v>0</v>
      </c>
      <c r="J35" s="164" t="e" cm="1">
        <f t="array" ref="J35">_xlfn.IFNA(INDEX('کارکرد اداری'!J:J,MATCH(C35,'کارکرد اداری'!B:B,0),0),INDEX('کارکرد اداری'!J:J,MATCH(D35,'کارکرد اداری'!C:C,0),0))</f>
        <v>#N/A</v>
      </c>
      <c r="K35" s="164" t="e" cm="1">
        <f t="array" ref="K35">_xlfn.IFNA(INDEX('کارکرد اداری'!R:R,MATCH(C35,'کارکرد اداری'!B:B,0),0),INDEX('کارکرد اداری'!R:R,MATCH(D35,'کارکرد اداری'!C:C,0),0))</f>
        <v>#N/A</v>
      </c>
      <c r="L35" s="164" t="e" cm="1">
        <f t="array" ref="L35">_xlfn.IFNA(INDEX('کارکرد اداری'!S:S,MATCH(C35,'کارکرد اداری'!B:B,0),0),INDEX('کارکرد اداری'!S:S,MATCH(D35,'کارکرد اداری'!C:C,0),0))</f>
        <v>#N/A</v>
      </c>
      <c r="M35" s="164" t="e" cm="1">
        <f t="array" ref="M35">_xlfn.IFNA(INDEX('کارکرد اداری'!P:P,MATCH(C35,'کارکرد اداری'!B:B,0),0),INDEX('کارکرد اداری'!P:P,MATCH(D35,'کارکرد اداری'!C:C,0),0))</f>
        <v>#N/A</v>
      </c>
      <c r="N35" s="164" t="e" cm="1">
        <f t="array" ref="N35">_xlfn.IFNA(INDEX('کارکرد اداری'!Q:Q,MATCH(C35,'کارکرد اداری'!B:B,0),0),INDEX('کارکرد اداری'!Q:Q,MATCH(D35,'کارکرد اداری'!C:C,0),0))</f>
        <v>#N/A</v>
      </c>
      <c r="O35" s="95" t="e">
        <f t="shared" ref="O35:O59" si="9">$F$1-$M$1-G35-H35-I35-J35</f>
        <v>#N/A</v>
      </c>
      <c r="P35" s="101" t="e">
        <f t="shared" ref="P35:P66" si="10">((O35*440+M35*60+N35)-(K35*60-L35))/60</f>
        <v>#N/A</v>
      </c>
      <c r="Q35" s="97" cm="1">
        <f t="array" ref="Q35">_xlfn.IFNA(INDEX(نهایی!CW:CW,MATCH(D35,نهایی!B:B,0),0)/60,INDEX(نهایی!CW:CW,MATCH(C35,نهایی!B:B,0),0)/60)</f>
        <v>127.66666666666667</v>
      </c>
      <c r="R35" s="97" t="e">
        <f t="shared" ref="R35:R66" si="11">Q35-P35</f>
        <v>#N/A</v>
      </c>
      <c r="S35" s="161">
        <f>_xlfn.IFNA(INDEX(نهایی!CX:CX,MATCH(D35,نهایی!B:B,0)),INDEX(نهایی!CX:CX,MATCH(C35,نهایی!B:B,0)))</f>
        <v>127.66666666666667</v>
      </c>
      <c r="T35" s="96">
        <f t="shared" ref="T35:T66" si="12">IF(S35&gt;Q35,"",Q35-S35)</f>
        <v>0</v>
      </c>
      <c r="U35" s="97">
        <f t="shared" ref="U35:U66" si="13">IF(Q35&gt;S35,"",S35-Q35)</f>
        <v>0</v>
      </c>
      <c r="V35" s="96" t="e">
        <f t="shared" ref="V35:V66" si="14">IF(P35&gt;S35,P35-S35,"")</f>
        <v>#N/A</v>
      </c>
      <c r="W35" s="97" t="e">
        <f t="shared" ref="W35:W66" si="15">IF(P35&lt;S35,S35-P35,"")</f>
        <v>#N/A</v>
      </c>
      <c r="X35" s="96" t="e">
        <f t="shared" ref="X35:X66" si="16">ROUNDDOWN(IF((0.95-S35/P35)&gt;0,(0.95-S35/P35),0)*Q35,0)</f>
        <v>#N/A</v>
      </c>
      <c r="Y35" s="94" t="e">
        <f t="shared" ref="Y35:Y66" si="17">ROUNDUP((IF(((S35/P35)-0.97)&gt;0,((S35/P35)-0.97),0)*Q35)/1,0)</f>
        <v>#N/A</v>
      </c>
      <c r="Z35" s="27" t="e">
        <f>VLOOKUP(C35,نهایی!B:B,1,0)</f>
        <v>#N/A</v>
      </c>
      <c r="AA35" s="27">
        <f>VLOOKUP(D35,نهایی!B:B,1,0)</f>
        <v>14396</v>
      </c>
    </row>
    <row r="36" spans="1:28" x14ac:dyDescent="0.25">
      <c r="A36" s="93"/>
      <c r="B36" s="93"/>
      <c r="C36" s="93">
        <f>_xlfn.XLOOKUP(D36,'کارکرد اداری'!$C$3:$C$106,'کارکرد اداری'!$B$3:$B$106,0,1)</f>
        <v>686</v>
      </c>
      <c r="D36" s="100">
        <v>14592</v>
      </c>
      <c r="E36" s="93" t="s">
        <v>335</v>
      </c>
      <c r="F36" s="105"/>
      <c r="G36" s="98" t="str">
        <f>_xlfn.IFNA(_xlfn.XLOOKUP(D36,'کارکرد اداری'!$C$4:$C$204,'کارکرد اداری'!$N$4:$N$204,"0",0),_xlfn.XLOOKUP(C36,'کارکرد اداری'!$C$4:$C$204,'کارکرد اداری'!$N$4:$N$204,"0",0))</f>
        <v>0</v>
      </c>
      <c r="H36" s="98">
        <f>_xlfn.XLOOKUP(D36,'کارکرد اداری'!$C$4:$C$204,'کارکرد اداری'!$K$4:$K$204,0,1)</f>
        <v>0</v>
      </c>
      <c r="I36" s="98">
        <f>_xlfn.XLOOKUP(D36,'کارکرد اداری'!$C$4:$C$204,'کارکرد اداری'!$I$4:$I$204,0,1)</f>
        <v>0</v>
      </c>
      <c r="J36" s="164" t="e" cm="1">
        <f t="array" ref="J36">_xlfn.IFNA(INDEX('کارکرد اداری'!J:J,MATCH(C36,'کارکرد اداری'!B:B,0),0),INDEX('کارکرد اداری'!J:J,MATCH(D36,'کارکرد اداری'!C:C,0),0))</f>
        <v>#N/A</v>
      </c>
      <c r="K36" s="164" t="e" cm="1">
        <f t="array" ref="K36">_xlfn.IFNA(INDEX('کارکرد اداری'!R:R,MATCH(C36,'کارکرد اداری'!B:B,0),0),INDEX('کارکرد اداری'!R:R,MATCH(D36,'کارکرد اداری'!C:C,0),0))</f>
        <v>#N/A</v>
      </c>
      <c r="L36" s="164" t="e" cm="1">
        <f t="array" ref="L36">_xlfn.IFNA(INDEX('کارکرد اداری'!S:S,MATCH(C36,'کارکرد اداری'!B:B,0),0),INDEX('کارکرد اداری'!S:S,MATCH(D36,'کارکرد اداری'!C:C,0),0))</f>
        <v>#N/A</v>
      </c>
      <c r="M36" s="164" t="e" cm="1">
        <f t="array" ref="M36">_xlfn.IFNA(INDEX('کارکرد اداری'!P:P,MATCH(C36,'کارکرد اداری'!B:B,0),0),INDEX('کارکرد اداری'!P:P,MATCH(D36,'کارکرد اداری'!C:C,0),0))</f>
        <v>#N/A</v>
      </c>
      <c r="N36" s="164" t="e" cm="1">
        <f t="array" ref="N36">_xlfn.IFNA(INDEX('کارکرد اداری'!Q:Q,MATCH(C36,'کارکرد اداری'!B:B,0),0),INDEX('کارکرد اداری'!Q:Q,MATCH(D36,'کارکرد اداری'!C:C,0),0))</f>
        <v>#N/A</v>
      </c>
      <c r="O36" s="95" t="e">
        <f t="shared" si="9"/>
        <v>#N/A</v>
      </c>
      <c r="P36" s="101" t="e">
        <f t="shared" si="10"/>
        <v>#N/A</v>
      </c>
      <c r="Q36" s="97" cm="1">
        <f t="array" ref="Q36">_xlfn.IFNA(INDEX(نهایی!CW:CW,MATCH(D36,نهایی!B:B,0),0)/60,INDEX(نهایی!CW:CW,MATCH(C36,نهایی!B:B,0),0)/60)</f>
        <v>141</v>
      </c>
      <c r="R36" s="97" t="e">
        <f t="shared" si="11"/>
        <v>#N/A</v>
      </c>
      <c r="S36" s="161">
        <f>_xlfn.IFNA(INDEX(نهایی!CX:CX,MATCH(D36,نهایی!B:B,0)),INDEX(نهایی!CX:CX,MATCH(C36,نهایی!B:B,0)))</f>
        <v>138.76048951048949</v>
      </c>
      <c r="T36" s="96">
        <f t="shared" si="12"/>
        <v>2.2395104895105078</v>
      </c>
      <c r="U36" s="97" t="str">
        <f t="shared" si="13"/>
        <v/>
      </c>
      <c r="V36" s="96" t="e">
        <f t="shared" si="14"/>
        <v>#N/A</v>
      </c>
      <c r="W36" s="97" t="e">
        <f t="shared" si="15"/>
        <v>#N/A</v>
      </c>
      <c r="X36" s="96" t="e">
        <f t="shared" si="16"/>
        <v>#N/A</v>
      </c>
      <c r="Y36" s="94" t="e">
        <f t="shared" si="17"/>
        <v>#N/A</v>
      </c>
      <c r="Z36" s="27" t="e">
        <f>VLOOKUP(C36,نهایی!B:B,1,0)</f>
        <v>#N/A</v>
      </c>
      <c r="AA36" s="27">
        <f>VLOOKUP(D36,نهایی!B:B,1,0)</f>
        <v>14592</v>
      </c>
    </row>
    <row r="37" spans="1:28" x14ac:dyDescent="0.25">
      <c r="A37" s="127" t="s">
        <v>353</v>
      </c>
      <c r="B37" s="127"/>
      <c r="C37" s="93">
        <f>_xlfn.XLOOKUP(D37,'کارکرد اداری'!$C$3:$C$106,'کارکرد اداری'!$B$3:$B$106,0,1)</f>
        <v>738</v>
      </c>
      <c r="D37" s="128">
        <v>14631</v>
      </c>
      <c r="E37" s="127" t="s">
        <v>431</v>
      </c>
      <c r="F37" s="131"/>
      <c r="G37" s="98" t="str">
        <f>_xlfn.IFNA(_xlfn.XLOOKUP(D37,'کارکرد اداری'!$C$4:$C$204,'کارکرد اداری'!$N$4:$N$204,"0",0),_xlfn.XLOOKUP(C37,'کارکرد اداری'!$C$4:$C$204,'کارکرد اداری'!$N$4:$N$204,"0",0))</f>
        <v>0</v>
      </c>
      <c r="H37" s="98">
        <f>_xlfn.XLOOKUP(D37,'کارکرد اداری'!$C$4:$C$204,'کارکرد اداری'!$K$4:$K$204,0,1)</f>
        <v>0</v>
      </c>
      <c r="I37" s="98">
        <f>_xlfn.XLOOKUP(D37,'کارکرد اداری'!$C$4:$C$204,'کارکرد اداری'!$I$4:$I$204,0,1)</f>
        <v>0</v>
      </c>
      <c r="J37" s="164" t="e" cm="1">
        <f t="array" ref="J37">_xlfn.IFNA(INDEX('کارکرد اداری'!J:J,MATCH(C37,'کارکرد اداری'!B:B,0),0),INDEX('کارکرد اداری'!J:J,MATCH(D37,'کارکرد اداری'!C:C,0),0))</f>
        <v>#N/A</v>
      </c>
      <c r="K37" s="164" t="e" cm="1">
        <f t="array" ref="K37">_xlfn.IFNA(INDEX('کارکرد اداری'!R:R,MATCH(C37,'کارکرد اداری'!B:B,0),0),INDEX('کارکرد اداری'!R:R,MATCH(D37,'کارکرد اداری'!C:C,0),0))</f>
        <v>#N/A</v>
      </c>
      <c r="L37" s="164" t="e" cm="1">
        <f t="array" ref="L37">_xlfn.IFNA(INDEX('کارکرد اداری'!S:S,MATCH(C37,'کارکرد اداری'!B:B,0),0),INDEX('کارکرد اداری'!S:S,MATCH(D37,'کارکرد اداری'!C:C,0),0))</f>
        <v>#N/A</v>
      </c>
      <c r="M37" s="164" t="e" cm="1">
        <f t="array" ref="M37">_xlfn.IFNA(INDEX('کارکرد اداری'!P:P,MATCH(C37,'کارکرد اداری'!B:B,0),0),INDEX('کارکرد اداری'!P:P,MATCH(D37,'کارکرد اداری'!C:C,0),0))</f>
        <v>#N/A</v>
      </c>
      <c r="N37" s="164" t="e" cm="1">
        <f t="array" ref="N37">_xlfn.IFNA(INDEX('کارکرد اداری'!Q:Q,MATCH(C37,'کارکرد اداری'!B:B,0),0),INDEX('کارکرد اداری'!Q:Q,MATCH(D37,'کارکرد اداری'!C:C,0),0))</f>
        <v>#N/A</v>
      </c>
      <c r="O37" s="95" t="e">
        <f t="shared" si="9"/>
        <v>#N/A</v>
      </c>
      <c r="P37" s="101" t="e">
        <f t="shared" si="10"/>
        <v>#N/A</v>
      </c>
      <c r="Q37" s="97" cm="1">
        <f t="array" ref="Q37">_xlfn.IFNA(INDEX(نهایی!CW:CW,MATCH(D37,نهایی!B:B,0),0)/60,INDEX(نهایی!CW:CW,MATCH(C37,نهایی!B:B,0),0)/60)</f>
        <v>132.33333333333334</v>
      </c>
      <c r="R37" s="97" t="e">
        <f t="shared" si="11"/>
        <v>#N/A</v>
      </c>
      <c r="S37" s="161">
        <f>_xlfn.IFNA(INDEX(نهایی!CX:CX,MATCH(D37,نهایی!B:B,0)),INDEX(نهایی!CX:CX,MATCH(C37,نهایی!B:B,0)))</f>
        <v>132.86770544679143</v>
      </c>
      <c r="T37" s="96" t="str">
        <f t="shared" si="12"/>
        <v/>
      </c>
      <c r="U37" s="97">
        <f t="shared" si="13"/>
        <v>0.53437211345809033</v>
      </c>
      <c r="V37" s="96" t="e">
        <f t="shared" si="14"/>
        <v>#N/A</v>
      </c>
      <c r="W37" s="97" t="e">
        <f t="shared" si="15"/>
        <v>#N/A</v>
      </c>
      <c r="X37" s="96" t="e">
        <f t="shared" si="16"/>
        <v>#N/A</v>
      </c>
      <c r="Y37" s="94" t="e">
        <f t="shared" si="17"/>
        <v>#N/A</v>
      </c>
      <c r="Z37" s="27" t="e">
        <f>VLOOKUP(C37,نهایی!B:B,1,0)</f>
        <v>#N/A</v>
      </c>
      <c r="AA37" s="27">
        <f>VLOOKUP(D37,نهایی!B:B,1,0)</f>
        <v>14631</v>
      </c>
    </row>
    <row r="38" spans="1:28" x14ac:dyDescent="0.25">
      <c r="A38" s="93"/>
      <c r="B38" s="93"/>
      <c r="C38" s="93">
        <f>_xlfn.XLOOKUP(D38,'کارکرد اداری'!$C$3:$C$106,'کارکرد اداری'!$B$3:$B$106,0,1)</f>
        <v>907</v>
      </c>
      <c r="D38" s="98">
        <v>14712</v>
      </c>
      <c r="E38" s="93" t="s">
        <v>350</v>
      </c>
      <c r="F38" s="105"/>
      <c r="G38" s="98" t="str">
        <f>_xlfn.IFNA(_xlfn.XLOOKUP(D38,'کارکرد اداری'!$C$4:$C$204,'کارکرد اداری'!$N$4:$N$204,"0",0),_xlfn.XLOOKUP(C38,'کارکرد اداری'!$C$4:$C$204,'کارکرد اداری'!$N$4:$N$204,"0",0))</f>
        <v>0</v>
      </c>
      <c r="H38" s="98">
        <f>_xlfn.XLOOKUP(D38,'کارکرد اداری'!$C$4:$C$204,'کارکرد اداری'!$K$4:$K$204,0,1)</f>
        <v>0</v>
      </c>
      <c r="I38" s="98">
        <f>_xlfn.XLOOKUP(D38,'کارکرد اداری'!$C$4:$C$204,'کارکرد اداری'!$I$4:$I$204,0,1)</f>
        <v>0</v>
      </c>
      <c r="J38" s="164" t="e" cm="1">
        <f t="array" ref="J38">_xlfn.IFNA(INDEX('کارکرد اداری'!J:J,MATCH(C38,'کارکرد اداری'!B:B,0),0),INDEX('کارکرد اداری'!J:J,MATCH(D38,'کارکرد اداری'!C:C,0),0))</f>
        <v>#N/A</v>
      </c>
      <c r="K38" s="164" t="e" cm="1">
        <f t="array" ref="K38">_xlfn.IFNA(INDEX('کارکرد اداری'!R:R,MATCH(C38,'کارکرد اداری'!B:B,0),0),INDEX('کارکرد اداری'!R:R,MATCH(D38,'کارکرد اداری'!C:C,0),0))</f>
        <v>#N/A</v>
      </c>
      <c r="L38" s="164" t="e" cm="1">
        <f t="array" ref="L38">_xlfn.IFNA(INDEX('کارکرد اداری'!S:S,MATCH(C38,'کارکرد اداری'!B:B,0),0),INDEX('کارکرد اداری'!S:S,MATCH(D38,'کارکرد اداری'!C:C,0),0))</f>
        <v>#N/A</v>
      </c>
      <c r="M38" s="164" t="e" cm="1">
        <f t="array" ref="M38">_xlfn.IFNA(INDEX('کارکرد اداری'!P:P,MATCH(C38,'کارکرد اداری'!B:B,0),0),INDEX('کارکرد اداری'!P:P,MATCH(D38,'کارکرد اداری'!C:C,0),0))</f>
        <v>#N/A</v>
      </c>
      <c r="N38" s="164" t="e" cm="1">
        <f t="array" ref="N38">_xlfn.IFNA(INDEX('کارکرد اداری'!Q:Q,MATCH(C38,'کارکرد اداری'!B:B,0),0),INDEX('کارکرد اداری'!Q:Q,MATCH(D38,'کارکرد اداری'!C:C,0),0))</f>
        <v>#N/A</v>
      </c>
      <c r="O38" s="95" t="e">
        <f t="shared" si="9"/>
        <v>#N/A</v>
      </c>
      <c r="P38" s="101" t="e">
        <f t="shared" si="10"/>
        <v>#N/A</v>
      </c>
      <c r="Q38" s="97" cm="1">
        <f t="array" ref="Q38">_xlfn.IFNA(INDEX(نهایی!CW:CW,MATCH(D38,نهایی!B:B,0),0)/60,INDEX(نهایی!CW:CW,MATCH(C38,نهایی!B:B,0),0)/60)</f>
        <v>132.33333333333334</v>
      </c>
      <c r="R38" s="97" t="e">
        <f t="shared" si="11"/>
        <v>#N/A</v>
      </c>
      <c r="S38" s="161">
        <f>_xlfn.IFNA(INDEX(نهایی!CX:CX,MATCH(D38,نهایی!B:B,0)),INDEX(نهایی!CX:CX,MATCH(C38,نهایی!B:B,0)))</f>
        <v>131.46687592598269</v>
      </c>
      <c r="T38" s="96">
        <f t="shared" si="12"/>
        <v>0.86645740735065147</v>
      </c>
      <c r="U38" s="97" t="str">
        <f t="shared" si="13"/>
        <v/>
      </c>
      <c r="V38" s="96" t="e">
        <f t="shared" si="14"/>
        <v>#N/A</v>
      </c>
      <c r="W38" s="97" t="e">
        <f t="shared" si="15"/>
        <v>#N/A</v>
      </c>
      <c r="X38" s="96" t="e">
        <f t="shared" si="16"/>
        <v>#N/A</v>
      </c>
      <c r="Y38" s="94" t="e">
        <f t="shared" si="17"/>
        <v>#N/A</v>
      </c>
      <c r="Z38" s="27" t="e">
        <f>VLOOKUP(C38,نهایی!B:B,1,0)</f>
        <v>#N/A</v>
      </c>
      <c r="AA38" s="27">
        <f>VLOOKUP(D38,نهایی!B:B,1,0)</f>
        <v>14712</v>
      </c>
    </row>
    <row r="39" spans="1:28" x14ac:dyDescent="0.25">
      <c r="A39" s="127"/>
      <c r="B39" s="127"/>
      <c r="C39" s="93">
        <f>_xlfn.XLOOKUP(D39,'کارکرد اداری'!$C$3:$C$106,'کارکرد اداری'!$B$3:$B$106,0,1)</f>
        <v>311</v>
      </c>
      <c r="D39" s="128">
        <v>14329</v>
      </c>
      <c r="E39" s="93" t="s">
        <v>367</v>
      </c>
      <c r="F39" s="127"/>
      <c r="G39" s="98" t="str">
        <f>_xlfn.IFNA(_xlfn.XLOOKUP(D39,'کارکرد اداری'!$C$4:$C$204,'کارکرد اداری'!$N$4:$N$204,"0",0),_xlfn.XLOOKUP(C39,'کارکرد اداری'!$C$4:$C$204,'کارکرد اداری'!$N$4:$N$204,"0",0))</f>
        <v>0</v>
      </c>
      <c r="H39" s="98">
        <f>_xlfn.XLOOKUP(D39,'کارکرد اداری'!$C$4:$C$204,'کارکرد اداری'!$K$4:$K$204,0,1)</f>
        <v>0</v>
      </c>
      <c r="I39" s="98">
        <f>_xlfn.XLOOKUP(D39,'کارکرد اداری'!$C$4:$C$204,'کارکرد اداری'!$I$4:$I$204,0,1)</f>
        <v>0</v>
      </c>
      <c r="J39" s="164" t="e" cm="1">
        <f t="array" ref="J39">_xlfn.IFNA(INDEX('کارکرد اداری'!J:J,MATCH(C39,'کارکرد اداری'!B:B,0),0),INDEX('کارکرد اداری'!J:J,MATCH(D39,'کارکرد اداری'!C:C,0),0))</f>
        <v>#N/A</v>
      </c>
      <c r="K39" s="164" t="e" cm="1">
        <f t="array" ref="K39">_xlfn.IFNA(INDEX('کارکرد اداری'!R:R,MATCH(C39,'کارکرد اداری'!B:B,0),0),INDEX('کارکرد اداری'!R:R,MATCH(D39,'کارکرد اداری'!C:C,0),0))</f>
        <v>#N/A</v>
      </c>
      <c r="L39" s="164" t="e" cm="1">
        <f t="array" ref="L39">_xlfn.IFNA(INDEX('کارکرد اداری'!S:S,MATCH(C39,'کارکرد اداری'!B:B,0),0),INDEX('کارکرد اداری'!S:S,MATCH(D39,'کارکرد اداری'!C:C,0),0))</f>
        <v>#N/A</v>
      </c>
      <c r="M39" s="164" t="e" cm="1">
        <f t="array" ref="M39">_xlfn.IFNA(INDEX('کارکرد اداری'!P:P,MATCH(C39,'کارکرد اداری'!B:B,0),0),INDEX('کارکرد اداری'!P:P,MATCH(D39,'کارکرد اداری'!C:C,0),0))</f>
        <v>#N/A</v>
      </c>
      <c r="N39" s="164" t="e" cm="1">
        <f t="array" ref="N39">_xlfn.IFNA(INDEX('کارکرد اداری'!Q:Q,MATCH(C39,'کارکرد اداری'!B:B,0),0),INDEX('کارکرد اداری'!Q:Q,MATCH(D39,'کارکرد اداری'!C:C,0),0))</f>
        <v>#N/A</v>
      </c>
      <c r="O39" s="95" t="e">
        <f t="shared" si="9"/>
        <v>#N/A</v>
      </c>
      <c r="P39" s="101" t="e">
        <f t="shared" si="10"/>
        <v>#N/A</v>
      </c>
      <c r="Q39" s="97" cm="1">
        <f t="array" ref="Q39">_xlfn.IFNA(INDEX(نهایی!CW:CW,MATCH(D39,نهایی!B:B,0),0)/60,INDEX(نهایی!CW:CW,MATCH(C39,نهایی!B:B,0),0)/60)</f>
        <v>136.66666666666666</v>
      </c>
      <c r="R39" s="97" t="e">
        <f t="shared" si="11"/>
        <v>#N/A</v>
      </c>
      <c r="S39" s="161">
        <f>_xlfn.IFNA(INDEX(نهایی!CX:CX,MATCH(D39,نهایی!B:B,0)),INDEX(نهایی!CX:CX,MATCH(C39,نهایی!B:B,0)))</f>
        <v>135.75279773718418</v>
      </c>
      <c r="T39" s="96">
        <f t="shared" si="12"/>
        <v>0.91386892948247578</v>
      </c>
      <c r="U39" s="97" t="str">
        <f t="shared" si="13"/>
        <v/>
      </c>
      <c r="V39" s="96" t="e">
        <f t="shared" si="14"/>
        <v>#N/A</v>
      </c>
      <c r="W39" s="97" t="e">
        <f t="shared" si="15"/>
        <v>#N/A</v>
      </c>
      <c r="X39" s="96" t="e">
        <f t="shared" si="16"/>
        <v>#N/A</v>
      </c>
      <c r="Y39" s="94" t="e">
        <f t="shared" si="17"/>
        <v>#N/A</v>
      </c>
      <c r="Z39" s="27" t="e">
        <f>VLOOKUP(C39,نهایی!B:B,1,0)</f>
        <v>#N/A</v>
      </c>
      <c r="AA39" s="27">
        <f>VLOOKUP(D39,نهایی!B:B,1,0)</f>
        <v>14329</v>
      </c>
    </row>
    <row r="40" spans="1:28" x14ac:dyDescent="0.25">
      <c r="A40" s="93"/>
      <c r="B40" s="93"/>
      <c r="C40" s="93">
        <f>_xlfn.XLOOKUP(D40,'کارکرد اداری'!$C$3:$C$106,'کارکرد اداری'!$B$3:$B$106,0,1)</f>
        <v>1122</v>
      </c>
      <c r="D40" s="100">
        <v>14910</v>
      </c>
      <c r="E40" s="93" t="s">
        <v>454</v>
      </c>
      <c r="F40" s="127"/>
      <c r="G40" s="98" t="str">
        <f>_xlfn.IFNA(_xlfn.XLOOKUP(D40,'کارکرد اداری'!$C$4:$C$204,'کارکرد اداری'!$N$4:$N$204,"0",0),_xlfn.XLOOKUP(C40,'کارکرد اداری'!$C$4:$C$204,'کارکرد اداری'!$N$4:$N$204,"0",0))</f>
        <v>0</v>
      </c>
      <c r="H40" s="98">
        <f>_xlfn.XLOOKUP(D40,'کارکرد اداری'!$C$4:$C$204,'کارکرد اداری'!$K$4:$K$204,0,1)</f>
        <v>0</v>
      </c>
      <c r="I40" s="98">
        <f>_xlfn.XLOOKUP(D40,'کارکرد اداری'!$C$4:$C$204,'کارکرد اداری'!$I$4:$I$204,0,1)</f>
        <v>0</v>
      </c>
      <c r="J40" s="164" t="e" cm="1">
        <f t="array" ref="J40">_xlfn.IFNA(INDEX('کارکرد اداری'!J:J,MATCH(C40,'کارکرد اداری'!B:B,0),0),INDEX('کارکرد اداری'!J:J,MATCH(D40,'کارکرد اداری'!C:C,0),0))</f>
        <v>#N/A</v>
      </c>
      <c r="K40" s="164" t="e" cm="1">
        <f t="array" ref="K40">_xlfn.IFNA(INDEX('کارکرد اداری'!R:R,MATCH(C40,'کارکرد اداری'!B:B,0),0),INDEX('کارکرد اداری'!R:R,MATCH(D40,'کارکرد اداری'!C:C,0),0))</f>
        <v>#N/A</v>
      </c>
      <c r="L40" s="164" t="e" cm="1">
        <f t="array" ref="L40">_xlfn.IFNA(INDEX('کارکرد اداری'!S:S,MATCH(C40,'کارکرد اداری'!B:B,0),0),INDEX('کارکرد اداری'!S:S,MATCH(D40,'کارکرد اداری'!C:C,0),0))</f>
        <v>#N/A</v>
      </c>
      <c r="M40" s="164" t="e" cm="1">
        <f t="array" ref="M40">_xlfn.IFNA(INDEX('کارکرد اداری'!P:P,MATCH(C40,'کارکرد اداری'!B:B,0),0),INDEX('کارکرد اداری'!P:P,MATCH(D40,'کارکرد اداری'!C:C,0),0))</f>
        <v>#N/A</v>
      </c>
      <c r="N40" s="164" t="e" cm="1">
        <f t="array" ref="N40">_xlfn.IFNA(INDEX('کارکرد اداری'!Q:Q,MATCH(C40,'کارکرد اداری'!B:B,0),0),INDEX('کارکرد اداری'!Q:Q,MATCH(D40,'کارکرد اداری'!C:C,0),0))</f>
        <v>#N/A</v>
      </c>
      <c r="O40" s="95" t="e">
        <f t="shared" si="9"/>
        <v>#N/A</v>
      </c>
      <c r="P40" s="101" t="e">
        <f t="shared" si="10"/>
        <v>#N/A</v>
      </c>
      <c r="Q40" s="97" cm="1">
        <f t="array" ref="Q40">_xlfn.IFNA(INDEX(نهایی!CW:CW,MATCH(D40,نهایی!B:B,0),0)/60,INDEX(نهایی!CW:CW,MATCH(C40,نهایی!B:B,0),0)/60)</f>
        <v>85.5</v>
      </c>
      <c r="R40" s="97" t="e">
        <f t="shared" si="11"/>
        <v>#N/A</v>
      </c>
      <c r="S40" s="161">
        <f>_xlfn.IFNA(INDEX(نهایی!CX:CX,MATCH(D40,نهایی!B:B,0)),INDEX(نهایی!CX:CX,MATCH(C40,نهایی!B:B,0)))</f>
        <v>85.5</v>
      </c>
      <c r="T40" s="96">
        <f t="shared" si="12"/>
        <v>0</v>
      </c>
      <c r="U40" s="97">
        <f t="shared" si="13"/>
        <v>0</v>
      </c>
      <c r="V40" s="96" t="e">
        <f t="shared" si="14"/>
        <v>#N/A</v>
      </c>
      <c r="W40" s="97" t="e">
        <f t="shared" si="15"/>
        <v>#N/A</v>
      </c>
      <c r="X40" s="96" t="e">
        <f t="shared" si="16"/>
        <v>#N/A</v>
      </c>
      <c r="Y40" s="94" t="e">
        <f t="shared" si="17"/>
        <v>#N/A</v>
      </c>
      <c r="Z40" s="27">
        <f>VLOOKUP(C40,نهایی!B:B,1,0)</f>
        <v>1122</v>
      </c>
      <c r="AA40" s="27" t="e">
        <f>VLOOKUP(D40,نهایی!B:B,1,0)</f>
        <v>#N/A</v>
      </c>
    </row>
    <row r="41" spans="1:28" s="62" customFormat="1" x14ac:dyDescent="0.25">
      <c r="A41" s="127"/>
      <c r="B41" s="127"/>
      <c r="C41" s="93">
        <f>_xlfn.XLOOKUP(D41,'کارکرد اداری'!$C$3:$C$106,'کارکرد اداری'!$B$3:$B$106,0,1)</f>
        <v>264</v>
      </c>
      <c r="D41" s="128">
        <v>14283</v>
      </c>
      <c r="E41" s="127" t="s">
        <v>201</v>
      </c>
      <c r="F41" s="127"/>
      <c r="G41" s="98" t="str">
        <f>_xlfn.IFNA(_xlfn.XLOOKUP(D41,'کارکرد اداری'!$C$4:$C$204,'کارکرد اداری'!$N$4:$N$204,"0",0),_xlfn.XLOOKUP(C41,'کارکرد اداری'!$C$4:$C$204,'کارکرد اداری'!$N$4:$N$204,"0",0))</f>
        <v>0</v>
      </c>
      <c r="H41" s="98">
        <f>_xlfn.XLOOKUP(D41,'کارکرد اداری'!$C$4:$C$204,'کارکرد اداری'!$K$4:$K$204,0,1)</f>
        <v>0</v>
      </c>
      <c r="I41" s="98">
        <f>_xlfn.XLOOKUP(D41,'کارکرد اداری'!$C$4:$C$204,'کارکرد اداری'!$I$4:$I$204,0,1)</f>
        <v>0</v>
      </c>
      <c r="J41" s="164" t="e" cm="1">
        <f t="array" ref="J41">_xlfn.IFNA(INDEX('کارکرد اداری'!J:J,MATCH(C41,'کارکرد اداری'!B:B,0),0),INDEX('کارکرد اداری'!J:J,MATCH(D41,'کارکرد اداری'!C:C,0),0))</f>
        <v>#N/A</v>
      </c>
      <c r="K41" s="164" t="e" cm="1">
        <f t="array" ref="K41">_xlfn.IFNA(INDEX('کارکرد اداری'!R:R,MATCH(C41,'کارکرد اداری'!B:B,0),0),INDEX('کارکرد اداری'!R:R,MATCH(D41,'کارکرد اداری'!C:C,0),0))</f>
        <v>#N/A</v>
      </c>
      <c r="L41" s="164" t="e" cm="1">
        <f t="array" ref="L41">_xlfn.IFNA(INDEX('کارکرد اداری'!S:S,MATCH(C41,'کارکرد اداری'!B:B,0),0),INDEX('کارکرد اداری'!S:S,MATCH(D41,'کارکرد اداری'!C:C,0),0))</f>
        <v>#N/A</v>
      </c>
      <c r="M41" s="164" t="e" cm="1">
        <f t="array" ref="M41">_xlfn.IFNA(INDEX('کارکرد اداری'!P:P,MATCH(C41,'کارکرد اداری'!B:B,0),0),INDEX('کارکرد اداری'!P:P,MATCH(D41,'کارکرد اداری'!C:C,0),0))</f>
        <v>#N/A</v>
      </c>
      <c r="N41" s="164" t="e" cm="1">
        <f t="array" ref="N41">_xlfn.IFNA(INDEX('کارکرد اداری'!Q:Q,MATCH(C41,'کارکرد اداری'!B:B,0),0),INDEX('کارکرد اداری'!Q:Q,MATCH(D41,'کارکرد اداری'!C:C,0),0))</f>
        <v>#N/A</v>
      </c>
      <c r="O41" s="95" t="e">
        <f t="shared" si="9"/>
        <v>#N/A</v>
      </c>
      <c r="P41" s="101" t="e">
        <f t="shared" si="10"/>
        <v>#N/A</v>
      </c>
      <c r="Q41" s="97" cm="1">
        <f t="array" ref="Q41">_xlfn.IFNA(INDEX(نهایی!CW:CW,MATCH(D41,نهایی!B:B,0),0)/60,INDEX(نهایی!CW:CW,MATCH(C41,نهایی!B:B,0),0)/60)</f>
        <v>133.91666666666666</v>
      </c>
      <c r="R41" s="97" t="e">
        <f t="shared" si="11"/>
        <v>#N/A</v>
      </c>
      <c r="S41" s="161">
        <f>_xlfn.IFNA(INDEX(نهایی!CX:CX,MATCH(D41,نهایی!B:B,0)),INDEX(نهایی!CX:CX,MATCH(C41,نهایی!B:B,0)))</f>
        <v>134.09349593495935</v>
      </c>
      <c r="T41" s="96" t="str">
        <f t="shared" si="12"/>
        <v/>
      </c>
      <c r="U41" s="97">
        <f t="shared" si="13"/>
        <v>0.17682926829269263</v>
      </c>
      <c r="V41" s="96" t="e">
        <f t="shared" si="14"/>
        <v>#N/A</v>
      </c>
      <c r="W41" s="97" t="e">
        <f t="shared" si="15"/>
        <v>#N/A</v>
      </c>
      <c r="X41" s="96" t="e">
        <f t="shared" si="16"/>
        <v>#N/A</v>
      </c>
      <c r="Y41" s="94" t="e">
        <f t="shared" si="17"/>
        <v>#N/A</v>
      </c>
      <c r="Z41" s="27" t="e">
        <f>VLOOKUP(C41,نهایی!B:B,1,0)</f>
        <v>#N/A</v>
      </c>
      <c r="AA41" s="27">
        <f>VLOOKUP(D41,نهایی!B:B,1,0)</f>
        <v>14283</v>
      </c>
      <c r="AB41" s="171"/>
    </row>
    <row r="42" spans="1:28" s="62" customFormat="1" x14ac:dyDescent="0.25">
      <c r="A42" s="93"/>
      <c r="B42" s="93"/>
      <c r="C42" s="93">
        <f>_xlfn.XLOOKUP(D42,'کارکرد اداری'!$C$3:$C$106,'کارکرد اداری'!$B$3:$B$106,0,1)</f>
        <v>753</v>
      </c>
      <c r="D42" s="100">
        <v>14636</v>
      </c>
      <c r="E42" s="93" t="s">
        <v>374</v>
      </c>
      <c r="F42" s="127"/>
      <c r="G42" s="98" t="str">
        <f>_xlfn.IFNA(_xlfn.XLOOKUP(D42,'کارکرد اداری'!$C$4:$C$204,'کارکرد اداری'!$N$4:$N$204,"0",0),_xlfn.XLOOKUP(C42,'کارکرد اداری'!$C$4:$C$204,'کارکرد اداری'!$N$4:$N$204,"0",0))</f>
        <v>0</v>
      </c>
      <c r="H42" s="98">
        <f>_xlfn.XLOOKUP(D42,'کارکرد اداری'!$C$4:$C$204,'کارکرد اداری'!$K$4:$K$204,0,1)</f>
        <v>0</v>
      </c>
      <c r="I42" s="98">
        <f>_xlfn.XLOOKUP(D42,'کارکرد اداری'!$C$4:$C$204,'کارکرد اداری'!$I$4:$I$204,0,1)</f>
        <v>0</v>
      </c>
      <c r="J42" s="164" t="e" cm="1">
        <f t="array" ref="J42">_xlfn.IFNA(INDEX('کارکرد اداری'!J:J,MATCH(C42,'کارکرد اداری'!B:B,0),0),INDEX('کارکرد اداری'!J:J,MATCH(D42,'کارکرد اداری'!C:C,0),0))</f>
        <v>#N/A</v>
      </c>
      <c r="K42" s="164" t="e" cm="1">
        <f t="array" ref="K42">_xlfn.IFNA(INDEX('کارکرد اداری'!R:R,MATCH(C42,'کارکرد اداری'!B:B,0),0),INDEX('کارکرد اداری'!R:R,MATCH(D42,'کارکرد اداری'!C:C,0),0))</f>
        <v>#N/A</v>
      </c>
      <c r="L42" s="164" t="e" cm="1">
        <f t="array" ref="L42">_xlfn.IFNA(INDEX('کارکرد اداری'!S:S,MATCH(C42,'کارکرد اداری'!B:B,0),0),INDEX('کارکرد اداری'!S:S,MATCH(D42,'کارکرد اداری'!C:C,0),0))</f>
        <v>#N/A</v>
      </c>
      <c r="M42" s="164" t="e" cm="1">
        <f t="array" ref="M42">_xlfn.IFNA(INDEX('کارکرد اداری'!P:P,MATCH(C42,'کارکرد اداری'!B:B,0),0),INDEX('کارکرد اداری'!P:P,MATCH(D42,'کارکرد اداری'!C:C,0),0))</f>
        <v>#N/A</v>
      </c>
      <c r="N42" s="164" t="e" cm="1">
        <f t="array" ref="N42">_xlfn.IFNA(INDEX('کارکرد اداری'!Q:Q,MATCH(C42,'کارکرد اداری'!B:B,0),0),INDEX('کارکرد اداری'!Q:Q,MATCH(D42,'کارکرد اداری'!C:C,0),0))</f>
        <v>#N/A</v>
      </c>
      <c r="O42" s="95" t="e">
        <f t="shared" si="9"/>
        <v>#N/A</v>
      </c>
      <c r="P42" s="101" t="e">
        <f t="shared" si="10"/>
        <v>#N/A</v>
      </c>
      <c r="Q42" s="97" cm="1">
        <f t="array" ref="Q42">_xlfn.IFNA(INDEX(نهایی!CW:CW,MATCH(D42,نهایی!B:B,0),0)/60,INDEX(نهایی!CW:CW,MATCH(C42,نهایی!B:B,0),0)/60)</f>
        <v>162.5</v>
      </c>
      <c r="R42" s="97" t="e">
        <f t="shared" si="11"/>
        <v>#N/A</v>
      </c>
      <c r="S42" s="161">
        <f>_xlfn.IFNA(INDEX(نهایی!CX:CX,MATCH(D42,نهایی!B:B,0)),INDEX(نهایی!CX:CX,MATCH(C42,نهایی!B:B,0)))</f>
        <v>160.47199177500136</v>
      </c>
      <c r="T42" s="96">
        <f t="shared" si="12"/>
        <v>2.0280082249986435</v>
      </c>
      <c r="U42" s="97" t="str">
        <f t="shared" si="13"/>
        <v/>
      </c>
      <c r="V42" s="96" t="e">
        <f t="shared" si="14"/>
        <v>#N/A</v>
      </c>
      <c r="W42" s="97" t="e">
        <f t="shared" si="15"/>
        <v>#N/A</v>
      </c>
      <c r="X42" s="96" t="e">
        <f t="shared" si="16"/>
        <v>#N/A</v>
      </c>
      <c r="Y42" s="94" t="e">
        <f t="shared" si="17"/>
        <v>#N/A</v>
      </c>
      <c r="Z42" s="27" t="e">
        <f>VLOOKUP(C42,نهایی!B:B,1,0)</f>
        <v>#N/A</v>
      </c>
      <c r="AA42" s="27">
        <f>VLOOKUP(D42,نهایی!B:B,1,0)</f>
        <v>14636</v>
      </c>
      <c r="AB42" s="171"/>
    </row>
    <row r="43" spans="1:28" s="140" customFormat="1" x14ac:dyDescent="0.25">
      <c r="A43" s="127"/>
      <c r="B43" s="127"/>
      <c r="C43" s="93">
        <f>_xlfn.XLOOKUP(D43,'کارکرد اداری'!$C$3:$C$106,'کارکرد اداری'!$B$3:$B$106,0,1)</f>
        <v>509</v>
      </c>
      <c r="D43" s="128">
        <v>14466</v>
      </c>
      <c r="E43" s="127" t="s">
        <v>357</v>
      </c>
      <c r="F43" s="127"/>
      <c r="G43" s="98" t="str">
        <f>_xlfn.IFNA(_xlfn.XLOOKUP(D43,'کارکرد اداری'!$C$4:$C$204,'کارکرد اداری'!$N$4:$N$204,"0",0),_xlfn.XLOOKUP(C43,'کارکرد اداری'!$C$4:$C$204,'کارکرد اداری'!$N$4:$N$204,"0",0))</f>
        <v>0</v>
      </c>
      <c r="H43" s="98">
        <f>_xlfn.XLOOKUP(D43,'کارکرد اداری'!$C$4:$C$204,'کارکرد اداری'!$K$4:$K$204,0,1)</f>
        <v>0</v>
      </c>
      <c r="I43" s="98">
        <f>_xlfn.XLOOKUP(D43,'کارکرد اداری'!$C$4:$C$204,'کارکرد اداری'!$I$4:$I$204,0,1)</f>
        <v>0</v>
      </c>
      <c r="J43" s="164" t="e" cm="1">
        <f t="array" ref="J43">_xlfn.IFNA(INDEX('کارکرد اداری'!J:J,MATCH(C43,'کارکرد اداری'!B:B,0),0),INDEX('کارکرد اداری'!J:J,MATCH(D43,'کارکرد اداری'!C:C,0),0))</f>
        <v>#N/A</v>
      </c>
      <c r="K43" s="164" t="e" cm="1">
        <f t="array" ref="K43">_xlfn.IFNA(INDEX('کارکرد اداری'!R:R,MATCH(C43,'کارکرد اداری'!B:B,0),0),INDEX('کارکرد اداری'!R:R,MATCH(D43,'کارکرد اداری'!C:C,0),0))</f>
        <v>#N/A</v>
      </c>
      <c r="L43" s="164" t="e" cm="1">
        <f t="array" ref="L43">_xlfn.IFNA(INDEX('کارکرد اداری'!S:S,MATCH(C43,'کارکرد اداری'!B:B,0),0),INDEX('کارکرد اداری'!S:S,MATCH(D43,'کارکرد اداری'!C:C,0),0))</f>
        <v>#N/A</v>
      </c>
      <c r="M43" s="164" t="e" cm="1">
        <f t="array" ref="M43">_xlfn.IFNA(INDEX('کارکرد اداری'!P:P,MATCH(C43,'کارکرد اداری'!B:B,0),0),INDEX('کارکرد اداری'!P:P,MATCH(D43,'کارکرد اداری'!C:C,0),0))</f>
        <v>#N/A</v>
      </c>
      <c r="N43" s="164" t="e" cm="1">
        <f t="array" ref="N43">_xlfn.IFNA(INDEX('کارکرد اداری'!Q:Q,MATCH(C43,'کارکرد اداری'!B:B,0),0),INDEX('کارکرد اداری'!Q:Q,MATCH(D43,'کارکرد اداری'!C:C,0),0))</f>
        <v>#N/A</v>
      </c>
      <c r="O43" s="95" t="e">
        <f t="shared" si="9"/>
        <v>#N/A</v>
      </c>
      <c r="P43" s="96" t="e">
        <f t="shared" si="10"/>
        <v>#N/A</v>
      </c>
      <c r="Q43" s="97" cm="1">
        <f t="array" ref="Q43">_xlfn.IFNA(INDEX(نهایی!CW:CW,MATCH(D43,نهایی!B:B,0),0)/60,INDEX(نهایی!CW:CW,MATCH(C43,نهایی!B:B,0),0)/60)</f>
        <v>131.33333333333334</v>
      </c>
      <c r="R43" s="97" t="e">
        <f t="shared" si="11"/>
        <v>#N/A</v>
      </c>
      <c r="S43" s="161">
        <f>_xlfn.IFNA(INDEX(نهایی!CX:CX,MATCH(D43,نهایی!B:B,0)),INDEX(نهایی!CX:CX,MATCH(C43,نهایی!B:B,0)))</f>
        <v>130.05638925294889</v>
      </c>
      <c r="T43" s="96">
        <f t="shared" si="12"/>
        <v>1.2769440803844532</v>
      </c>
      <c r="U43" s="97" t="str">
        <f t="shared" si="13"/>
        <v/>
      </c>
      <c r="V43" s="96" t="e">
        <f t="shared" si="14"/>
        <v>#N/A</v>
      </c>
      <c r="W43" s="97" t="e">
        <f t="shared" si="15"/>
        <v>#N/A</v>
      </c>
      <c r="X43" s="96" t="e">
        <f t="shared" si="16"/>
        <v>#N/A</v>
      </c>
      <c r="Y43" s="94" t="e">
        <f t="shared" si="17"/>
        <v>#N/A</v>
      </c>
      <c r="Z43" s="27" t="e">
        <f>VLOOKUP(C43,نهایی!B:B,1,0)</f>
        <v>#N/A</v>
      </c>
      <c r="AA43" s="27">
        <f>VLOOKUP(D43,نهایی!B:B,1,0)</f>
        <v>14466</v>
      </c>
      <c r="AB43" s="174"/>
    </row>
    <row r="44" spans="1:28" s="62" customFormat="1" x14ac:dyDescent="0.25">
      <c r="A44" s="93"/>
      <c r="B44" s="93"/>
      <c r="C44" s="93">
        <f>_xlfn.XLOOKUP(D44,'کارکرد اداری'!$C$3:$C$106,'کارکرد اداری'!$B$3:$B$106,0,1)</f>
        <v>595</v>
      </c>
      <c r="D44" s="98">
        <v>14537</v>
      </c>
      <c r="E44" s="93" t="s">
        <v>330</v>
      </c>
      <c r="F44" s="93"/>
      <c r="G44" s="98" t="str">
        <f>_xlfn.IFNA(_xlfn.XLOOKUP(D44,'کارکرد اداری'!$C$4:$C$204,'کارکرد اداری'!$N$4:$N$204,"0",0),_xlfn.XLOOKUP(C44,'کارکرد اداری'!$C$4:$C$204,'کارکرد اداری'!$N$4:$N$204,"0",0))</f>
        <v>0</v>
      </c>
      <c r="H44" s="98">
        <f>_xlfn.XLOOKUP(D44,'کارکرد اداری'!$C$4:$C$204,'کارکرد اداری'!$K$4:$K$204,0,1)</f>
        <v>0</v>
      </c>
      <c r="I44" s="98">
        <f>_xlfn.XLOOKUP(D44,'کارکرد اداری'!$C$4:$C$204,'کارکرد اداری'!$I$4:$I$204,0,1)</f>
        <v>0</v>
      </c>
      <c r="J44" s="164" t="e" cm="1">
        <f t="array" ref="J44">_xlfn.IFNA(INDEX('کارکرد اداری'!J:J,MATCH(C44,'کارکرد اداری'!B:B,0),0),INDEX('کارکرد اداری'!J:J,MATCH(D44,'کارکرد اداری'!C:C,0),0))</f>
        <v>#N/A</v>
      </c>
      <c r="K44" s="164" t="e" cm="1">
        <f t="array" ref="K44">_xlfn.IFNA(INDEX('کارکرد اداری'!R:R,MATCH(C44,'کارکرد اداری'!B:B,0),0),INDEX('کارکرد اداری'!R:R,MATCH(D44,'کارکرد اداری'!C:C,0),0))</f>
        <v>#N/A</v>
      </c>
      <c r="L44" s="164" t="e" cm="1">
        <f t="array" ref="L44">_xlfn.IFNA(INDEX('کارکرد اداری'!S:S,MATCH(C44,'کارکرد اداری'!B:B,0),0),INDEX('کارکرد اداری'!S:S,MATCH(D44,'کارکرد اداری'!C:C,0),0))</f>
        <v>#N/A</v>
      </c>
      <c r="M44" s="164" t="e" cm="1">
        <f t="array" ref="M44">_xlfn.IFNA(INDEX('کارکرد اداری'!P:P,MATCH(C44,'کارکرد اداری'!B:B,0),0),INDEX('کارکرد اداری'!P:P,MATCH(D44,'کارکرد اداری'!C:C,0),0))</f>
        <v>#N/A</v>
      </c>
      <c r="N44" s="164" t="e" cm="1">
        <f t="array" ref="N44">_xlfn.IFNA(INDEX('کارکرد اداری'!Q:Q,MATCH(C44,'کارکرد اداری'!B:B,0),0),INDEX('کارکرد اداری'!Q:Q,MATCH(D44,'کارکرد اداری'!C:C,0),0))</f>
        <v>#N/A</v>
      </c>
      <c r="O44" s="95" t="e">
        <f t="shared" si="9"/>
        <v>#N/A</v>
      </c>
      <c r="P44" s="96" t="e">
        <f t="shared" si="10"/>
        <v>#N/A</v>
      </c>
      <c r="Q44" s="97" cm="1">
        <f t="array" ref="Q44">_xlfn.IFNA(INDEX(نهایی!CW:CW,MATCH(D44,نهایی!B:B,0),0)/60,INDEX(نهایی!CW:CW,MATCH(C44,نهایی!B:B,0),0)/60)</f>
        <v>136.66666666666666</v>
      </c>
      <c r="R44" s="97" t="e">
        <f t="shared" si="11"/>
        <v>#N/A</v>
      </c>
      <c r="S44" s="161">
        <f>_xlfn.IFNA(INDEX(نهایی!CX:CX,MATCH(D44,نهایی!B:B,0)),INDEX(نهایی!CX:CX,MATCH(C44,نهایی!B:B,0)))</f>
        <v>135.39014827250122</v>
      </c>
      <c r="T44" s="96">
        <f t="shared" si="12"/>
        <v>1.2765183941654357</v>
      </c>
      <c r="U44" s="97" t="str">
        <f t="shared" si="13"/>
        <v/>
      </c>
      <c r="V44" s="96" t="e">
        <f t="shared" si="14"/>
        <v>#N/A</v>
      </c>
      <c r="W44" s="97" t="e">
        <f t="shared" si="15"/>
        <v>#N/A</v>
      </c>
      <c r="X44" s="96" t="e">
        <f t="shared" si="16"/>
        <v>#N/A</v>
      </c>
      <c r="Y44" s="94" t="e">
        <f t="shared" si="17"/>
        <v>#N/A</v>
      </c>
      <c r="Z44" s="27" t="e">
        <f>VLOOKUP(C44,نهایی!B:B,1,0)</f>
        <v>#N/A</v>
      </c>
      <c r="AA44" s="27">
        <f>VLOOKUP(D44,نهایی!B:B,1,0)</f>
        <v>14537</v>
      </c>
      <c r="AB44" s="171"/>
    </row>
    <row r="45" spans="1:28" s="62" customFormat="1" x14ac:dyDescent="0.25">
      <c r="A45" s="93"/>
      <c r="B45" s="93"/>
      <c r="C45" s="93">
        <f>_xlfn.XLOOKUP(D45,'کارکرد اداری'!$C$3:$C$106,'کارکرد اداری'!$B$3:$B$106,0,1)</f>
        <v>1067</v>
      </c>
      <c r="D45" s="100">
        <v>14867</v>
      </c>
      <c r="E45" s="93" t="s">
        <v>409</v>
      </c>
      <c r="F45" s="93"/>
      <c r="G45" s="98" t="str">
        <f>_xlfn.IFNA(_xlfn.XLOOKUP(D45,'کارکرد اداری'!$C$4:$C$204,'کارکرد اداری'!$N$4:$N$204,"0",0),_xlfn.XLOOKUP(C45,'کارکرد اداری'!$C$4:$C$204,'کارکرد اداری'!$N$4:$N$204,"0",0))</f>
        <v>0</v>
      </c>
      <c r="H45" s="98">
        <f>_xlfn.XLOOKUP(D45,'کارکرد اداری'!$C$4:$C$204,'کارکرد اداری'!$K$4:$K$204,0,1)</f>
        <v>0</v>
      </c>
      <c r="I45" s="98">
        <f>_xlfn.XLOOKUP(D45,'کارکرد اداری'!$C$4:$C$204,'کارکرد اداری'!$I$4:$I$204,0,1)</f>
        <v>0</v>
      </c>
      <c r="J45" s="164" t="e" cm="1">
        <f t="array" ref="J45">_xlfn.IFNA(INDEX('کارکرد اداری'!J:J,MATCH(C45,'کارکرد اداری'!B:B,0),0),INDEX('کارکرد اداری'!J:J,MATCH(D45,'کارکرد اداری'!C:C,0),0))</f>
        <v>#N/A</v>
      </c>
      <c r="K45" s="164" t="e" cm="1">
        <f t="array" ref="K45">_xlfn.IFNA(INDEX('کارکرد اداری'!R:R,MATCH(C45,'کارکرد اداری'!B:B,0),0),INDEX('کارکرد اداری'!R:R,MATCH(D45,'کارکرد اداری'!C:C,0),0))</f>
        <v>#N/A</v>
      </c>
      <c r="L45" s="164" t="e" cm="1">
        <f t="array" ref="L45">_xlfn.IFNA(INDEX('کارکرد اداری'!S:S,MATCH(C45,'کارکرد اداری'!B:B,0),0),INDEX('کارکرد اداری'!S:S,MATCH(D45,'کارکرد اداری'!C:C,0),0))</f>
        <v>#N/A</v>
      </c>
      <c r="M45" s="164" t="e" cm="1">
        <f t="array" ref="M45">_xlfn.IFNA(INDEX('کارکرد اداری'!P:P,MATCH(C45,'کارکرد اداری'!B:B,0),0),INDEX('کارکرد اداری'!P:P,MATCH(D45,'کارکرد اداری'!C:C,0),0))</f>
        <v>#N/A</v>
      </c>
      <c r="N45" s="164" t="e" cm="1">
        <f t="array" ref="N45">_xlfn.IFNA(INDEX('کارکرد اداری'!Q:Q,MATCH(C45,'کارکرد اداری'!B:B,0),0),INDEX('کارکرد اداری'!Q:Q,MATCH(D45,'کارکرد اداری'!C:C,0),0))</f>
        <v>#N/A</v>
      </c>
      <c r="O45" s="95" t="e">
        <f t="shared" si="9"/>
        <v>#N/A</v>
      </c>
      <c r="P45" s="96" t="e">
        <f t="shared" si="10"/>
        <v>#N/A</v>
      </c>
      <c r="Q45" s="97" cm="1">
        <f t="array" ref="Q45">_xlfn.IFNA(INDEX(نهایی!CW:CW,MATCH(D45,نهایی!B:B,0),0)/60,INDEX(نهایی!CW:CW,MATCH(C45,نهایی!B:B,0),0)/60)</f>
        <v>136.66666666666666</v>
      </c>
      <c r="R45" s="97" t="e">
        <f t="shared" si="11"/>
        <v>#N/A</v>
      </c>
      <c r="S45" s="161">
        <f>_xlfn.IFNA(INDEX(نهایی!CX:CX,MATCH(D45,نهایی!B:B,0)),INDEX(نهایی!CX:CX,MATCH(C45,نهایی!B:B,0)))</f>
        <v>135.20814786332028</v>
      </c>
      <c r="T45" s="96">
        <f t="shared" si="12"/>
        <v>1.4585188033463794</v>
      </c>
      <c r="U45" s="97" t="str">
        <f t="shared" si="13"/>
        <v/>
      </c>
      <c r="V45" s="96" t="e">
        <f t="shared" si="14"/>
        <v>#N/A</v>
      </c>
      <c r="W45" s="97" t="e">
        <f t="shared" si="15"/>
        <v>#N/A</v>
      </c>
      <c r="X45" s="96" t="e">
        <f t="shared" si="16"/>
        <v>#N/A</v>
      </c>
      <c r="Y45" s="94" t="e">
        <f t="shared" si="17"/>
        <v>#N/A</v>
      </c>
      <c r="Z45" s="27">
        <f>VLOOKUP(C45,نهایی!B:B,1,0)</f>
        <v>1067</v>
      </c>
      <c r="AA45" s="27" t="e">
        <f>VLOOKUP(D45,نهایی!B:B,1,0)</f>
        <v>#N/A</v>
      </c>
      <c r="AB45" s="171"/>
    </row>
    <row r="46" spans="1:28" s="62" customFormat="1" x14ac:dyDescent="0.25">
      <c r="A46" s="93" t="s">
        <v>413</v>
      </c>
      <c r="B46" s="93" t="s">
        <v>566</v>
      </c>
      <c r="C46" s="93">
        <v>1160</v>
      </c>
      <c r="D46" s="100">
        <v>1160</v>
      </c>
      <c r="E46" s="93" t="s">
        <v>495</v>
      </c>
      <c r="F46" s="127"/>
      <c r="G46" s="98" t="e">
        <f>_xlfn.IFNA(_xlfn.XLOOKUP(D46,'کارکرد اداری'!$C$4:$C$204,'کارکرد اداری'!$N$4:$N$204,"0",0),_xlfn.XLOOKUP(C46,'کارکرد اداری'!$C$4:$C$204,'کارکرد اداری'!$N$4:$N$204,"0",0))</f>
        <v>#N/A</v>
      </c>
      <c r="H46" s="98">
        <f>_xlfn.XLOOKUP(D46,'کارکرد اداری'!$C$4:$C$204,'کارکرد اداری'!$K$4:$K$204,0,1)</f>
        <v>0</v>
      </c>
      <c r="I46" s="98">
        <f>_xlfn.XLOOKUP(D46,'کارکرد اداری'!$C$4:$C$204,'کارکرد اداری'!$I$4:$I$204,0,1)</f>
        <v>0</v>
      </c>
      <c r="J46" s="164" t="e" cm="1">
        <f t="array" ref="J46">_xlfn.IFNA(INDEX('کارکرد اداری'!J:J,MATCH(C46,'کارکرد اداری'!B:B,0),0),INDEX('کارکرد اداری'!J:J,MATCH(D46,'کارکرد اداری'!C:C,0),0))</f>
        <v>#N/A</v>
      </c>
      <c r="K46" s="164" t="e" cm="1">
        <f t="array" ref="K46">_xlfn.IFNA(INDEX('کارکرد اداری'!R:R,MATCH(C46,'کارکرد اداری'!B:B,0),0),INDEX('کارکرد اداری'!R:R,MATCH(D46,'کارکرد اداری'!C:C,0),0))</f>
        <v>#N/A</v>
      </c>
      <c r="L46" s="164" t="e" cm="1">
        <f t="array" ref="L46">_xlfn.IFNA(INDEX('کارکرد اداری'!S:S,MATCH(C46,'کارکرد اداری'!B:B,0),0),INDEX('کارکرد اداری'!S:S,MATCH(D46,'کارکرد اداری'!C:C,0),0))</f>
        <v>#N/A</v>
      </c>
      <c r="M46" s="164" t="e" cm="1">
        <f t="array" ref="M46">_xlfn.IFNA(INDEX('کارکرد اداری'!P:P,MATCH(C46,'کارکرد اداری'!B:B,0),0),INDEX('کارکرد اداری'!P:P,MATCH(D46,'کارکرد اداری'!C:C,0),0))</f>
        <v>#N/A</v>
      </c>
      <c r="N46" s="164" t="e" cm="1">
        <f t="array" ref="N46">_xlfn.IFNA(INDEX('کارکرد اداری'!Q:Q,MATCH(C46,'کارکرد اداری'!B:B,0),0),INDEX('کارکرد اداری'!Q:Q,MATCH(D46,'کارکرد اداری'!C:C,0),0))</f>
        <v>#N/A</v>
      </c>
      <c r="O46" s="95" t="e">
        <f t="shared" si="9"/>
        <v>#N/A</v>
      </c>
      <c r="P46" s="96" t="e">
        <f t="shared" si="10"/>
        <v>#N/A</v>
      </c>
      <c r="Q46" s="97" cm="1">
        <f t="array" ref="Q46">_xlfn.IFNA(INDEX(نهایی!CW:CW,MATCH(D46,نهایی!B:B,0),0)/60,INDEX(نهایی!CW:CW,MATCH(C46,نهایی!B:B,0),0)/60)</f>
        <v>163.66666666666666</v>
      </c>
      <c r="R46" s="97" t="e">
        <f t="shared" si="11"/>
        <v>#N/A</v>
      </c>
      <c r="S46" s="161">
        <f>_xlfn.IFNA(INDEX(نهایی!CX:CX,MATCH(D46,نهایی!B:B,0)),INDEX(نهایی!CX:CX,MATCH(C46,نهایی!B:B,0)))</f>
        <v>160.10209790209788</v>
      </c>
      <c r="T46" s="96">
        <f t="shared" si="12"/>
        <v>3.5645687645687758</v>
      </c>
      <c r="U46" s="97" t="str">
        <f t="shared" si="13"/>
        <v/>
      </c>
      <c r="V46" s="96" t="e">
        <f t="shared" si="14"/>
        <v>#N/A</v>
      </c>
      <c r="W46" s="97" t="e">
        <f t="shared" si="15"/>
        <v>#N/A</v>
      </c>
      <c r="X46" s="96" t="e">
        <f t="shared" si="16"/>
        <v>#N/A</v>
      </c>
      <c r="Y46" s="94" t="e">
        <f t="shared" si="17"/>
        <v>#N/A</v>
      </c>
      <c r="Z46" s="27">
        <f>VLOOKUP(C46,نهایی!B:B,1,0)</f>
        <v>1160</v>
      </c>
      <c r="AA46" s="27">
        <f>VLOOKUP(D46,نهایی!B:B,1,0)</f>
        <v>1160</v>
      </c>
      <c r="AB46" s="171"/>
    </row>
    <row r="47" spans="1:28" s="62" customFormat="1" x14ac:dyDescent="0.25">
      <c r="A47" s="127"/>
      <c r="B47" s="127"/>
      <c r="C47" s="93">
        <f>_xlfn.XLOOKUP(D47,'کارکرد اداری'!$C$3:$C$106,'کارکرد اداری'!$B$3:$B$106,0,1)</f>
        <v>670</v>
      </c>
      <c r="D47" s="128">
        <v>14580</v>
      </c>
      <c r="E47" s="127" t="s">
        <v>334</v>
      </c>
      <c r="F47" s="127"/>
      <c r="G47" s="98" t="str">
        <f>_xlfn.IFNA(_xlfn.XLOOKUP(D47,'کارکرد اداری'!$C$4:$C$204,'کارکرد اداری'!$N$4:$N$204,"0",0),_xlfn.XLOOKUP(C47,'کارکرد اداری'!$C$4:$C$204,'کارکرد اداری'!$N$4:$N$204,"0",0))</f>
        <v>0</v>
      </c>
      <c r="H47" s="98">
        <f>_xlfn.XLOOKUP(D47,'کارکرد اداری'!$C$4:$C$204,'کارکرد اداری'!$K$4:$K$204,0,1)</f>
        <v>0</v>
      </c>
      <c r="I47" s="98">
        <f>_xlfn.XLOOKUP(D47,'کارکرد اداری'!$C$4:$C$204,'کارکرد اداری'!$I$4:$I$204,0,1)</f>
        <v>0</v>
      </c>
      <c r="J47" s="164" t="e" cm="1">
        <f t="array" ref="J47">_xlfn.IFNA(INDEX('کارکرد اداری'!J:J,MATCH(C47,'کارکرد اداری'!B:B,0),0),INDEX('کارکرد اداری'!J:J,MATCH(D47,'کارکرد اداری'!C:C,0),0))</f>
        <v>#N/A</v>
      </c>
      <c r="K47" s="164" t="e" cm="1">
        <f t="array" ref="K47">_xlfn.IFNA(INDEX('کارکرد اداری'!R:R,MATCH(C47,'کارکرد اداری'!B:B,0),0),INDEX('کارکرد اداری'!R:R,MATCH(D47,'کارکرد اداری'!C:C,0),0))</f>
        <v>#N/A</v>
      </c>
      <c r="L47" s="164" t="e" cm="1">
        <f t="array" ref="L47">_xlfn.IFNA(INDEX('کارکرد اداری'!S:S,MATCH(C47,'کارکرد اداری'!B:B,0),0),INDEX('کارکرد اداری'!S:S,MATCH(D47,'کارکرد اداری'!C:C,0),0))</f>
        <v>#N/A</v>
      </c>
      <c r="M47" s="164" t="e" cm="1">
        <f t="array" ref="M47">_xlfn.IFNA(INDEX('کارکرد اداری'!P:P,MATCH(C47,'کارکرد اداری'!B:B,0),0),INDEX('کارکرد اداری'!P:P,MATCH(D47,'کارکرد اداری'!C:C,0),0))</f>
        <v>#N/A</v>
      </c>
      <c r="N47" s="164" t="e" cm="1">
        <f t="array" ref="N47">_xlfn.IFNA(INDEX('کارکرد اداری'!Q:Q,MATCH(C47,'کارکرد اداری'!B:B,0),0),INDEX('کارکرد اداری'!Q:Q,MATCH(D47,'کارکرد اداری'!C:C,0),0))</f>
        <v>#N/A</v>
      </c>
      <c r="O47" s="95" t="e">
        <f t="shared" si="9"/>
        <v>#N/A</v>
      </c>
      <c r="P47" s="101" t="e">
        <f t="shared" si="10"/>
        <v>#N/A</v>
      </c>
      <c r="Q47" s="97" cm="1">
        <f t="array" ref="Q47">_xlfn.IFNA(INDEX(نهایی!CW:CW,MATCH(D47,نهایی!B:B,0),0)/60,INDEX(نهایی!CW:CW,MATCH(C47,نهایی!B:B,0),0)/60)</f>
        <v>131.16666666666666</v>
      </c>
      <c r="R47" s="97" t="e">
        <f t="shared" si="11"/>
        <v>#N/A</v>
      </c>
      <c r="S47" s="161">
        <f>_xlfn.IFNA(INDEX(نهایی!CX:CX,MATCH(D47,نهایی!B:B,0)),INDEX(نهایی!CX:CX,MATCH(C47,نهایی!B:B,0)))</f>
        <v>129.35226451883929</v>
      </c>
      <c r="T47" s="96">
        <f t="shared" si="12"/>
        <v>1.8144021478273658</v>
      </c>
      <c r="U47" s="97" t="str">
        <f t="shared" si="13"/>
        <v/>
      </c>
      <c r="V47" s="96" t="e">
        <f t="shared" si="14"/>
        <v>#N/A</v>
      </c>
      <c r="W47" s="97" t="e">
        <f t="shared" si="15"/>
        <v>#N/A</v>
      </c>
      <c r="X47" s="96" t="e">
        <f t="shared" si="16"/>
        <v>#N/A</v>
      </c>
      <c r="Y47" s="94" t="e">
        <f t="shared" si="17"/>
        <v>#N/A</v>
      </c>
      <c r="Z47" s="27" t="e">
        <f>VLOOKUP(C47,نهایی!B:B,1,0)</f>
        <v>#N/A</v>
      </c>
      <c r="AA47" s="27">
        <f>VLOOKUP(D47,نهایی!B:B,1,0)</f>
        <v>14580</v>
      </c>
      <c r="AB47" s="171"/>
    </row>
    <row r="48" spans="1:28" s="62" customFormat="1" x14ac:dyDescent="0.25">
      <c r="A48" s="93"/>
      <c r="B48" s="127"/>
      <c r="C48" s="93">
        <f>_xlfn.XLOOKUP(D48,'کارکرد اداری'!$C$3:$C$106,'کارکرد اداری'!$B$3:$B$106,0,1)</f>
        <v>1141</v>
      </c>
      <c r="D48" s="98">
        <v>14918</v>
      </c>
      <c r="E48" s="127" t="s">
        <v>466</v>
      </c>
      <c r="F48" s="132"/>
      <c r="G48" s="98" t="str">
        <f>_xlfn.IFNA(_xlfn.XLOOKUP(D48,'کارکرد اداری'!$C$4:$C$204,'کارکرد اداری'!$N$4:$N$204,"0",0),_xlfn.XLOOKUP(C48,'کارکرد اداری'!$C$4:$C$204,'کارکرد اداری'!$N$4:$N$204,"0",0))</f>
        <v>0</v>
      </c>
      <c r="H48" s="98">
        <f>_xlfn.XLOOKUP(D48,'کارکرد اداری'!$C$4:$C$204,'کارکرد اداری'!$K$4:$K$204,0,1)</f>
        <v>0</v>
      </c>
      <c r="I48" s="98">
        <f>_xlfn.XLOOKUP(D48,'کارکرد اداری'!$C$4:$C$204,'کارکرد اداری'!$I$4:$I$204,0,1)</f>
        <v>0</v>
      </c>
      <c r="J48" s="164" t="e" cm="1">
        <f t="array" ref="J48">_xlfn.IFNA(INDEX('کارکرد اداری'!J:J,MATCH(C48,'کارکرد اداری'!B:B,0),0),INDEX('کارکرد اداری'!J:J,MATCH(D48,'کارکرد اداری'!C:C,0),0))</f>
        <v>#N/A</v>
      </c>
      <c r="K48" s="164" t="e" cm="1">
        <f t="array" ref="K48">_xlfn.IFNA(INDEX('کارکرد اداری'!R:R,MATCH(C48,'کارکرد اداری'!B:B,0),0),INDEX('کارکرد اداری'!R:R,MATCH(D48,'کارکرد اداری'!C:C,0),0))</f>
        <v>#N/A</v>
      </c>
      <c r="L48" s="164" t="e" cm="1">
        <f t="array" ref="L48">_xlfn.IFNA(INDEX('کارکرد اداری'!S:S,MATCH(C48,'کارکرد اداری'!B:B,0),0),INDEX('کارکرد اداری'!S:S,MATCH(D48,'کارکرد اداری'!C:C,0),0))</f>
        <v>#N/A</v>
      </c>
      <c r="M48" s="164" t="e" cm="1">
        <f t="array" ref="M48">_xlfn.IFNA(INDEX('کارکرد اداری'!P:P,MATCH(C48,'کارکرد اداری'!B:B,0),0),INDEX('کارکرد اداری'!P:P,MATCH(D48,'کارکرد اداری'!C:C,0),0))</f>
        <v>#N/A</v>
      </c>
      <c r="N48" s="164" t="e" cm="1">
        <f t="array" ref="N48">_xlfn.IFNA(INDEX('کارکرد اداری'!Q:Q,MATCH(C48,'کارکرد اداری'!B:B,0),0),INDEX('کارکرد اداری'!Q:Q,MATCH(D48,'کارکرد اداری'!C:C,0),0))</f>
        <v>#N/A</v>
      </c>
      <c r="O48" s="95" t="e">
        <f t="shared" si="9"/>
        <v>#N/A</v>
      </c>
      <c r="P48" s="101" t="e">
        <f t="shared" si="10"/>
        <v>#N/A</v>
      </c>
      <c r="Q48" s="97" cm="1">
        <f t="array" ref="Q48">_xlfn.IFNA(INDEX(نهایی!CW:CW,MATCH(D48,نهایی!B:B,0),0)/60,INDEX(نهایی!CW:CW,MATCH(C48,نهایی!B:B,0),0)/60)</f>
        <v>147.33333333333334</v>
      </c>
      <c r="R48" s="97" t="e">
        <f t="shared" si="11"/>
        <v>#N/A</v>
      </c>
      <c r="S48" s="161">
        <f>_xlfn.IFNA(INDEX(نهایی!CX:CX,MATCH(D48,نهایی!B:B,0)),INDEX(نهایی!CX:CX,MATCH(C48,نهایی!B:B,0)))</f>
        <v>144.25057440723739</v>
      </c>
      <c r="T48" s="96">
        <f t="shared" si="12"/>
        <v>3.0827589260959485</v>
      </c>
      <c r="U48" s="97" t="str">
        <f t="shared" si="13"/>
        <v/>
      </c>
      <c r="V48" s="96" t="e">
        <f t="shared" si="14"/>
        <v>#N/A</v>
      </c>
      <c r="W48" s="97" t="e">
        <f t="shared" si="15"/>
        <v>#N/A</v>
      </c>
      <c r="X48" s="96" t="e">
        <f t="shared" si="16"/>
        <v>#N/A</v>
      </c>
      <c r="Y48" s="94" t="e">
        <f t="shared" si="17"/>
        <v>#N/A</v>
      </c>
      <c r="Z48" s="27">
        <f>VLOOKUP(C48,نهایی!B:B,1,0)</f>
        <v>1141</v>
      </c>
      <c r="AA48" s="27" t="e">
        <f>VLOOKUP(D48,نهایی!B:B,1,0)</f>
        <v>#N/A</v>
      </c>
      <c r="AB48" s="171"/>
    </row>
    <row r="49" spans="1:28" x14ac:dyDescent="0.25">
      <c r="A49" s="93"/>
      <c r="B49" s="93"/>
      <c r="C49" s="93">
        <f>_xlfn.XLOOKUP(D49,'کارکرد اداری'!$C$3:$C$106,'کارکرد اداری'!$B$3:$B$106,0,1)</f>
        <v>1118</v>
      </c>
      <c r="D49" s="100">
        <v>14898</v>
      </c>
      <c r="E49" s="93" t="s">
        <v>438</v>
      </c>
      <c r="F49" s="127"/>
      <c r="G49" s="98" t="str">
        <f>_xlfn.IFNA(_xlfn.XLOOKUP(D49,'کارکرد اداری'!$C$4:$C$204,'کارکرد اداری'!$N$4:$N$204,"0",0),_xlfn.XLOOKUP(C49,'کارکرد اداری'!$C$4:$C$204,'کارکرد اداری'!$N$4:$N$204,"0",0))</f>
        <v>0</v>
      </c>
      <c r="H49" s="98">
        <f>_xlfn.XLOOKUP(D49,'کارکرد اداری'!$C$4:$C$204,'کارکرد اداری'!$K$4:$K$204,0,1)</f>
        <v>0</v>
      </c>
      <c r="I49" s="98">
        <f>_xlfn.XLOOKUP(D49,'کارکرد اداری'!$C$4:$C$204,'کارکرد اداری'!$I$4:$I$204,0,1)</f>
        <v>0</v>
      </c>
      <c r="J49" s="164" t="e" cm="1">
        <f t="array" ref="J49">_xlfn.IFNA(INDEX('کارکرد اداری'!J:J,MATCH(C49,'کارکرد اداری'!B:B,0),0),INDEX('کارکرد اداری'!J:J,MATCH(D49,'کارکرد اداری'!C:C,0),0))</f>
        <v>#N/A</v>
      </c>
      <c r="K49" s="164" t="e" cm="1">
        <f t="array" ref="K49">_xlfn.IFNA(INDEX('کارکرد اداری'!R:R,MATCH(C49,'کارکرد اداری'!B:B,0),0),INDEX('کارکرد اداری'!R:R,MATCH(D49,'کارکرد اداری'!C:C,0),0))</f>
        <v>#N/A</v>
      </c>
      <c r="L49" s="164" t="e" cm="1">
        <f t="array" ref="L49">_xlfn.IFNA(INDEX('کارکرد اداری'!S:S,MATCH(C49,'کارکرد اداری'!B:B,0),0),INDEX('کارکرد اداری'!S:S,MATCH(D49,'کارکرد اداری'!C:C,0),0))</f>
        <v>#N/A</v>
      </c>
      <c r="M49" s="164" t="e" cm="1">
        <f t="array" ref="M49">_xlfn.IFNA(INDEX('کارکرد اداری'!P:P,MATCH(C49,'کارکرد اداری'!B:B,0),0),INDEX('کارکرد اداری'!P:P,MATCH(D49,'کارکرد اداری'!C:C,0),0))</f>
        <v>#N/A</v>
      </c>
      <c r="N49" s="164" t="e" cm="1">
        <f t="array" ref="N49">_xlfn.IFNA(INDEX('کارکرد اداری'!Q:Q,MATCH(C49,'کارکرد اداری'!B:B,0),0),INDEX('کارکرد اداری'!Q:Q,MATCH(D49,'کارکرد اداری'!C:C,0),0))</f>
        <v>#N/A</v>
      </c>
      <c r="O49" s="95" t="e">
        <f t="shared" si="9"/>
        <v>#N/A</v>
      </c>
      <c r="P49" s="101" t="e">
        <f t="shared" si="10"/>
        <v>#N/A</v>
      </c>
      <c r="Q49" s="97" cm="1">
        <f t="array" ref="Q49">_xlfn.IFNA(INDEX(نهایی!CW:CW,MATCH(D49,نهایی!B:B,0),0)/60,INDEX(نهایی!CW:CW,MATCH(C49,نهایی!B:B,0),0)/60)</f>
        <v>136.66666666666666</v>
      </c>
      <c r="R49" s="97" t="e">
        <f t="shared" si="11"/>
        <v>#N/A</v>
      </c>
      <c r="S49" s="161">
        <f>_xlfn.IFNA(INDEX(نهایی!CX:CX,MATCH(D49,نهایی!B:B,0)),INDEX(نهایی!CX:CX,MATCH(C49,نهایی!B:B,0)))</f>
        <v>134.07630707630707</v>
      </c>
      <c r="T49" s="96">
        <f t="shared" si="12"/>
        <v>2.5903595903595829</v>
      </c>
      <c r="U49" s="97" t="str">
        <f t="shared" si="13"/>
        <v/>
      </c>
      <c r="V49" s="96" t="e">
        <f t="shared" si="14"/>
        <v>#N/A</v>
      </c>
      <c r="W49" s="97" t="e">
        <f t="shared" si="15"/>
        <v>#N/A</v>
      </c>
      <c r="X49" s="96" t="e">
        <f t="shared" si="16"/>
        <v>#N/A</v>
      </c>
      <c r="Y49" s="94" t="e">
        <f t="shared" si="17"/>
        <v>#N/A</v>
      </c>
      <c r="Z49" s="27">
        <f>VLOOKUP(C49,نهایی!B:B,1,0)</f>
        <v>1118</v>
      </c>
      <c r="AA49" s="27" t="e">
        <f>VLOOKUP(D49,نهایی!B:B,1,0)</f>
        <v>#N/A</v>
      </c>
    </row>
    <row r="50" spans="1:28" x14ac:dyDescent="0.25">
      <c r="A50" s="93"/>
      <c r="B50" s="93"/>
      <c r="C50" s="93">
        <f>_xlfn.XLOOKUP(D50,'کارکرد اداری'!$C$3:$C$106,'کارکرد اداری'!$B$3:$B$106,0,1)</f>
        <v>435</v>
      </c>
      <c r="D50" s="100">
        <v>14417</v>
      </c>
      <c r="E50" s="93" t="s">
        <v>368</v>
      </c>
      <c r="F50" s="93"/>
      <c r="G50" s="98" t="str">
        <f>_xlfn.IFNA(_xlfn.XLOOKUP(D50,'کارکرد اداری'!$C$4:$C$204,'کارکرد اداری'!$N$4:$N$204,"0",0),_xlfn.XLOOKUP(C50,'کارکرد اداری'!$C$4:$C$204,'کارکرد اداری'!$N$4:$N$204,"0",0))</f>
        <v>0</v>
      </c>
      <c r="H50" s="98">
        <f>_xlfn.XLOOKUP(D50,'کارکرد اداری'!$C$4:$C$204,'کارکرد اداری'!$K$4:$K$204,0,1)</f>
        <v>0</v>
      </c>
      <c r="I50" s="98">
        <f>_xlfn.XLOOKUP(D50,'کارکرد اداری'!$C$4:$C$204,'کارکرد اداری'!$I$4:$I$204,0,1)</f>
        <v>0</v>
      </c>
      <c r="J50" s="164" t="e" cm="1">
        <f t="array" ref="J50">_xlfn.IFNA(INDEX('کارکرد اداری'!J:J,MATCH(C50,'کارکرد اداری'!B:B,0),0),INDEX('کارکرد اداری'!J:J,MATCH(D50,'کارکرد اداری'!C:C,0),0))</f>
        <v>#N/A</v>
      </c>
      <c r="K50" s="164" t="e" cm="1">
        <f t="array" ref="K50">_xlfn.IFNA(INDEX('کارکرد اداری'!R:R,MATCH(C50,'کارکرد اداری'!B:B,0),0),INDEX('کارکرد اداری'!R:R,MATCH(D50,'کارکرد اداری'!C:C,0),0))</f>
        <v>#N/A</v>
      </c>
      <c r="L50" s="164" t="e" cm="1">
        <f t="array" ref="L50">_xlfn.IFNA(INDEX('کارکرد اداری'!S:S,MATCH(C50,'کارکرد اداری'!B:B,0),0),INDEX('کارکرد اداری'!S:S,MATCH(D50,'کارکرد اداری'!C:C,0),0))</f>
        <v>#N/A</v>
      </c>
      <c r="M50" s="164" t="e" cm="1">
        <f t="array" ref="M50">_xlfn.IFNA(INDEX('کارکرد اداری'!P:P,MATCH(C50,'کارکرد اداری'!B:B,0),0),INDEX('کارکرد اداری'!P:P,MATCH(D50,'کارکرد اداری'!C:C,0),0))</f>
        <v>#N/A</v>
      </c>
      <c r="N50" s="164" t="e" cm="1">
        <f t="array" ref="N50">_xlfn.IFNA(INDEX('کارکرد اداری'!Q:Q,MATCH(C50,'کارکرد اداری'!B:B,0),0),INDEX('کارکرد اداری'!Q:Q,MATCH(D50,'کارکرد اداری'!C:C,0),0))</f>
        <v>#N/A</v>
      </c>
      <c r="O50" s="95" t="e">
        <f t="shared" si="9"/>
        <v>#N/A</v>
      </c>
      <c r="P50" s="96" t="e">
        <f t="shared" si="10"/>
        <v>#N/A</v>
      </c>
      <c r="Q50" s="97" cm="1">
        <f t="array" ref="Q50">_xlfn.IFNA(INDEX(نهایی!CW:CW,MATCH(D50,نهایی!B:B,0),0)/60,INDEX(نهایی!CW:CW,MATCH(C50,نهایی!B:B,0),0)/60)</f>
        <v>136.66666666666666</v>
      </c>
      <c r="R50" s="97" t="e">
        <f t="shared" si="11"/>
        <v>#N/A</v>
      </c>
      <c r="S50" s="161">
        <f>_xlfn.IFNA(INDEX(نهایی!CX:CX,MATCH(D50,نهایی!B:B,0)),INDEX(نهایی!CX:CX,MATCH(C50,نهایی!B:B,0)))</f>
        <v>133.79753674535459</v>
      </c>
      <c r="T50" s="96">
        <f t="shared" si="12"/>
        <v>2.8691299213120658</v>
      </c>
      <c r="U50" s="97" t="str">
        <f t="shared" si="13"/>
        <v/>
      </c>
      <c r="V50" s="96" t="e">
        <f t="shared" si="14"/>
        <v>#N/A</v>
      </c>
      <c r="W50" s="97" t="e">
        <f t="shared" si="15"/>
        <v>#N/A</v>
      </c>
      <c r="X50" s="96" t="e">
        <f t="shared" si="16"/>
        <v>#N/A</v>
      </c>
      <c r="Y50" s="94" t="e">
        <f t="shared" si="17"/>
        <v>#N/A</v>
      </c>
      <c r="Z50" s="27" t="e">
        <f>VLOOKUP(C50,نهایی!B:B,1,0)</f>
        <v>#N/A</v>
      </c>
      <c r="AA50" s="27">
        <f>VLOOKUP(D50,نهایی!B:B,1,0)</f>
        <v>14417</v>
      </c>
    </row>
    <row r="51" spans="1:28" s="62" customFormat="1" x14ac:dyDescent="0.25">
      <c r="A51" s="93"/>
      <c r="B51" s="93"/>
      <c r="C51" s="93">
        <f>_xlfn.XLOOKUP(D51,'کارکرد اداری'!$C$3:$C$106,'کارکرد اداری'!$B$3:$B$106,0,1)</f>
        <v>309</v>
      </c>
      <c r="D51" s="100">
        <v>14327</v>
      </c>
      <c r="E51" s="93" t="s">
        <v>202</v>
      </c>
      <c r="F51" s="134"/>
      <c r="G51" s="98" t="str">
        <f>_xlfn.IFNA(_xlfn.XLOOKUP(D51,'کارکرد اداری'!$C$4:$C$204,'کارکرد اداری'!$N$4:$N$204,"0",0),_xlfn.XLOOKUP(C51,'کارکرد اداری'!$C$4:$C$204,'کارکرد اداری'!$N$4:$N$204,"0",0))</f>
        <v>0</v>
      </c>
      <c r="H51" s="98">
        <f>_xlfn.XLOOKUP(D51,'کارکرد اداری'!$C$4:$C$204,'کارکرد اداری'!$K$4:$K$204,0,1)</f>
        <v>0</v>
      </c>
      <c r="I51" s="98">
        <f>_xlfn.XLOOKUP(D51,'کارکرد اداری'!$C$4:$C$204,'کارکرد اداری'!$I$4:$I$204,0,1)</f>
        <v>0</v>
      </c>
      <c r="J51" s="164" t="e" cm="1">
        <f t="array" ref="J51">_xlfn.IFNA(INDEX('کارکرد اداری'!J:J,MATCH(C51,'کارکرد اداری'!B:B,0),0),INDEX('کارکرد اداری'!J:J,MATCH(D51,'کارکرد اداری'!C:C,0),0))</f>
        <v>#N/A</v>
      </c>
      <c r="K51" s="164" t="e" cm="1">
        <f t="array" ref="K51">_xlfn.IFNA(INDEX('کارکرد اداری'!R:R,MATCH(C51,'کارکرد اداری'!B:B,0),0),INDEX('کارکرد اداری'!R:R,MATCH(D51,'کارکرد اداری'!C:C,0),0))</f>
        <v>#N/A</v>
      </c>
      <c r="L51" s="164" t="e" cm="1">
        <f t="array" ref="L51">_xlfn.IFNA(INDEX('کارکرد اداری'!S:S,MATCH(C51,'کارکرد اداری'!B:B,0),0),INDEX('کارکرد اداری'!S:S,MATCH(D51,'کارکرد اداری'!C:C,0),0))</f>
        <v>#N/A</v>
      </c>
      <c r="M51" s="164" t="e" cm="1">
        <f t="array" ref="M51">_xlfn.IFNA(INDEX('کارکرد اداری'!P:P,MATCH(C51,'کارکرد اداری'!B:B,0),0),INDEX('کارکرد اداری'!P:P,MATCH(D51,'کارکرد اداری'!C:C,0),0))</f>
        <v>#N/A</v>
      </c>
      <c r="N51" s="164" t="e" cm="1">
        <f t="array" ref="N51">_xlfn.IFNA(INDEX('کارکرد اداری'!Q:Q,MATCH(C51,'کارکرد اداری'!B:B,0),0),INDEX('کارکرد اداری'!Q:Q,MATCH(D51,'کارکرد اداری'!C:C,0),0))</f>
        <v>#N/A</v>
      </c>
      <c r="O51" s="95" t="e">
        <f t="shared" si="9"/>
        <v>#N/A</v>
      </c>
      <c r="P51" s="101" t="e">
        <f t="shared" si="10"/>
        <v>#N/A</v>
      </c>
      <c r="Q51" s="97" cm="1">
        <f t="array" ref="Q51">_xlfn.IFNA(INDEX(نهایی!CW:CW,MATCH(D51,نهایی!B:B,0),0)/60,INDEX(نهایی!CW:CW,MATCH(C51,نهایی!B:B,0),0)/60)</f>
        <v>133.66666666666666</v>
      </c>
      <c r="R51" s="97" t="e">
        <f t="shared" si="11"/>
        <v>#N/A</v>
      </c>
      <c r="S51" s="161">
        <f>_xlfn.IFNA(INDEX(نهایی!CX:CX,MATCH(D51,نهایی!B:B,0)),INDEX(نهایی!CX:CX,MATCH(C51,نهایی!B:B,0)))</f>
        <v>131.00582342174175</v>
      </c>
      <c r="T51" s="96">
        <f t="shared" si="12"/>
        <v>2.6608432449249051</v>
      </c>
      <c r="U51" s="97" t="str">
        <f t="shared" si="13"/>
        <v/>
      </c>
      <c r="V51" s="96" t="e">
        <f t="shared" si="14"/>
        <v>#N/A</v>
      </c>
      <c r="W51" s="97" t="e">
        <f t="shared" si="15"/>
        <v>#N/A</v>
      </c>
      <c r="X51" s="96" t="e">
        <f t="shared" si="16"/>
        <v>#N/A</v>
      </c>
      <c r="Y51" s="94" t="e">
        <f t="shared" si="17"/>
        <v>#N/A</v>
      </c>
      <c r="Z51" s="27" t="e">
        <f>VLOOKUP(C51,نهایی!B:B,1,0)</f>
        <v>#N/A</v>
      </c>
      <c r="AA51" s="27">
        <f>VLOOKUP(D51,نهایی!B:B,1,0)</f>
        <v>14327</v>
      </c>
      <c r="AB51" s="171"/>
    </row>
    <row r="52" spans="1:28" s="139" customFormat="1" x14ac:dyDescent="0.25">
      <c r="A52" s="127"/>
      <c r="B52" s="127"/>
      <c r="C52" s="93">
        <f>_xlfn.XLOOKUP(D52,'کارکرد اداری'!$C$3:$C$106,'کارکرد اداری'!$B$3:$B$106,0,1)</f>
        <v>768</v>
      </c>
      <c r="D52" s="128">
        <v>14642</v>
      </c>
      <c r="E52" s="127" t="s">
        <v>354</v>
      </c>
      <c r="F52" s="127"/>
      <c r="G52" s="98" t="str">
        <f>_xlfn.IFNA(_xlfn.XLOOKUP(D52,'کارکرد اداری'!$C$4:$C$204,'کارکرد اداری'!$N$4:$N$204,"0",0),_xlfn.XLOOKUP(C52,'کارکرد اداری'!$C$4:$C$204,'کارکرد اداری'!$N$4:$N$204,"0",0))</f>
        <v>0</v>
      </c>
      <c r="H52" s="98">
        <f>_xlfn.XLOOKUP(D52,'کارکرد اداری'!$C$4:$C$204,'کارکرد اداری'!$K$4:$K$204,0,1)</f>
        <v>0</v>
      </c>
      <c r="I52" s="98">
        <f>_xlfn.XLOOKUP(D52,'کارکرد اداری'!$C$4:$C$204,'کارکرد اداری'!$I$4:$I$204,0,1)</f>
        <v>0</v>
      </c>
      <c r="J52" s="164" t="e" cm="1">
        <f t="array" ref="J52">_xlfn.IFNA(INDEX('کارکرد اداری'!J:J,MATCH(C52,'کارکرد اداری'!B:B,0),0),INDEX('کارکرد اداری'!J:J,MATCH(D52,'کارکرد اداری'!C:C,0),0))</f>
        <v>#N/A</v>
      </c>
      <c r="K52" s="164" t="e" cm="1">
        <f t="array" ref="K52">_xlfn.IFNA(INDEX('کارکرد اداری'!R:R,MATCH(C52,'کارکرد اداری'!B:B,0),0),INDEX('کارکرد اداری'!R:R,MATCH(D52,'کارکرد اداری'!C:C,0),0))</f>
        <v>#N/A</v>
      </c>
      <c r="L52" s="164" t="e" cm="1">
        <f t="array" ref="L52">_xlfn.IFNA(INDEX('کارکرد اداری'!S:S,MATCH(C52,'کارکرد اداری'!B:B,0),0),INDEX('کارکرد اداری'!S:S,MATCH(D52,'کارکرد اداری'!C:C,0),0))</f>
        <v>#N/A</v>
      </c>
      <c r="M52" s="164" t="e" cm="1">
        <f t="array" ref="M52">_xlfn.IFNA(INDEX('کارکرد اداری'!P:P,MATCH(C52,'کارکرد اداری'!B:B,0),0),INDEX('کارکرد اداری'!P:P,MATCH(D52,'کارکرد اداری'!C:C,0),0))</f>
        <v>#N/A</v>
      </c>
      <c r="N52" s="164" t="e" cm="1">
        <f t="array" ref="N52">_xlfn.IFNA(INDEX('کارکرد اداری'!Q:Q,MATCH(C52,'کارکرد اداری'!B:B,0),0),INDEX('کارکرد اداری'!Q:Q,MATCH(D52,'کارکرد اداری'!C:C,0),0))</f>
        <v>#N/A</v>
      </c>
      <c r="O52" s="95" t="e">
        <f t="shared" si="9"/>
        <v>#N/A</v>
      </c>
      <c r="P52" s="96" t="e">
        <f t="shared" si="10"/>
        <v>#N/A</v>
      </c>
      <c r="Q52" s="97" cm="1">
        <f t="array" ref="Q52">_xlfn.IFNA(INDEX(نهایی!CW:CW,MATCH(D52,نهایی!B:B,0),0)/60,INDEX(نهایی!CW:CW,MATCH(C52,نهایی!B:B,0),0)/60)</f>
        <v>136.66666666666666</v>
      </c>
      <c r="R52" s="97" t="e">
        <f t="shared" si="11"/>
        <v>#N/A</v>
      </c>
      <c r="S52" s="161">
        <f>_xlfn.IFNA(INDEX(نهایی!CX:CX,MATCH(D52,نهایی!B:B,0)),INDEX(نهایی!CX:CX,MATCH(C52,نهایی!B:B,0)))</f>
        <v>133.51330687841846</v>
      </c>
      <c r="T52" s="96">
        <f t="shared" si="12"/>
        <v>3.1533597882481956</v>
      </c>
      <c r="U52" s="97" t="str">
        <f t="shared" si="13"/>
        <v/>
      </c>
      <c r="V52" s="96" t="e">
        <f t="shared" si="14"/>
        <v>#N/A</v>
      </c>
      <c r="W52" s="97" t="e">
        <f t="shared" si="15"/>
        <v>#N/A</v>
      </c>
      <c r="X52" s="96" t="e">
        <f t="shared" si="16"/>
        <v>#N/A</v>
      </c>
      <c r="Y52" s="94" t="e">
        <f t="shared" si="17"/>
        <v>#N/A</v>
      </c>
      <c r="Z52" s="27" t="e">
        <f>VLOOKUP(C52,نهایی!B:B,1,0)</f>
        <v>#N/A</v>
      </c>
      <c r="AA52" s="27">
        <f>VLOOKUP(D52,نهایی!B:B,1,0)</f>
        <v>14642</v>
      </c>
      <c r="AB52" s="175"/>
    </row>
    <row r="53" spans="1:28" s="139" customFormat="1" x14ac:dyDescent="0.25">
      <c r="A53" s="93" t="s">
        <v>413</v>
      </c>
      <c r="B53" s="93" t="s">
        <v>566</v>
      </c>
      <c r="C53" s="93">
        <v>1165</v>
      </c>
      <c r="D53" s="100">
        <v>1165</v>
      </c>
      <c r="E53" s="93" t="s">
        <v>499</v>
      </c>
      <c r="F53" s="135"/>
      <c r="G53" s="98" t="e">
        <f>_xlfn.IFNA(_xlfn.XLOOKUP(D53,'کارکرد اداری'!$C$4:$C$204,'کارکرد اداری'!$N$4:$N$204,"0",0),_xlfn.XLOOKUP(C53,'کارکرد اداری'!$C$4:$C$204,'کارکرد اداری'!$N$4:$N$204,"0",0))</f>
        <v>#N/A</v>
      </c>
      <c r="H53" s="98">
        <f>_xlfn.XLOOKUP(D53,'کارکرد اداری'!$C$4:$C$204,'کارکرد اداری'!$K$4:$K$204,0,1)</f>
        <v>0</v>
      </c>
      <c r="I53" s="98">
        <f>_xlfn.XLOOKUP(D53,'کارکرد اداری'!$C$4:$C$204,'کارکرد اداری'!$I$4:$I$204,0,1)</f>
        <v>0</v>
      </c>
      <c r="J53" s="164" t="e" cm="1">
        <f t="array" ref="J53">_xlfn.IFNA(INDEX('کارکرد اداری'!J:J,MATCH(C53,'کارکرد اداری'!B:B,0),0),INDEX('کارکرد اداری'!J:J,MATCH(D53,'کارکرد اداری'!C:C,0),0))</f>
        <v>#N/A</v>
      </c>
      <c r="K53" s="164" t="e" cm="1">
        <f t="array" ref="K53">_xlfn.IFNA(INDEX('کارکرد اداری'!R:R,MATCH(C53,'کارکرد اداری'!B:B,0),0),INDEX('کارکرد اداری'!R:R,MATCH(D53,'کارکرد اداری'!C:C,0),0))</f>
        <v>#N/A</v>
      </c>
      <c r="L53" s="164" t="e" cm="1">
        <f t="array" ref="L53">_xlfn.IFNA(INDEX('کارکرد اداری'!S:S,MATCH(C53,'کارکرد اداری'!B:B,0),0),INDEX('کارکرد اداری'!S:S,MATCH(D53,'کارکرد اداری'!C:C,0),0))</f>
        <v>#N/A</v>
      </c>
      <c r="M53" s="164" t="e" cm="1">
        <f t="array" ref="M53">_xlfn.IFNA(INDEX('کارکرد اداری'!P:P,MATCH(C53,'کارکرد اداری'!B:B,0),0),INDEX('کارکرد اداری'!P:P,MATCH(D53,'کارکرد اداری'!C:C,0),0))</f>
        <v>#N/A</v>
      </c>
      <c r="N53" s="164" t="e" cm="1">
        <f t="array" ref="N53">_xlfn.IFNA(INDEX('کارکرد اداری'!Q:Q,MATCH(C53,'کارکرد اداری'!B:B,0),0),INDEX('کارکرد اداری'!Q:Q,MATCH(D53,'کارکرد اداری'!C:C,0),0))</f>
        <v>#N/A</v>
      </c>
      <c r="O53" s="95" t="e">
        <f t="shared" si="9"/>
        <v>#N/A</v>
      </c>
      <c r="P53" s="101" t="e">
        <f t="shared" si="10"/>
        <v>#N/A</v>
      </c>
      <c r="Q53" s="97" cm="1">
        <f t="array" ref="Q53">_xlfn.IFNA(INDEX(نهایی!CW:CW,MATCH(D53,نهایی!B:B,0),0)/60,INDEX(نهایی!CW:CW,MATCH(C53,نهایی!B:B,0),0)/60)</f>
        <v>166.66666666666666</v>
      </c>
      <c r="R53" s="97" t="e">
        <f t="shared" si="11"/>
        <v>#N/A</v>
      </c>
      <c r="S53" s="161">
        <f>_xlfn.IFNA(INDEX(نهایی!CX:CX,MATCH(D53,نهایی!B:B,0)),INDEX(نهایی!CX:CX,MATCH(C53,نهایی!B:B,0)))</f>
        <v>162.10095807276423</v>
      </c>
      <c r="T53" s="96">
        <f t="shared" si="12"/>
        <v>4.5657085939024284</v>
      </c>
      <c r="U53" s="97" t="str">
        <f t="shared" si="13"/>
        <v/>
      </c>
      <c r="V53" s="96" t="e">
        <f t="shared" si="14"/>
        <v>#N/A</v>
      </c>
      <c r="W53" s="97" t="e">
        <f t="shared" si="15"/>
        <v>#N/A</v>
      </c>
      <c r="X53" s="96" t="e">
        <f t="shared" si="16"/>
        <v>#N/A</v>
      </c>
      <c r="Y53" s="94" t="e">
        <f t="shared" si="17"/>
        <v>#N/A</v>
      </c>
      <c r="Z53" s="27">
        <f>VLOOKUP(C53,نهایی!B:B,1,0)</f>
        <v>1165</v>
      </c>
      <c r="AA53" s="27">
        <f>VLOOKUP(D53,نهایی!B:B,1,0)</f>
        <v>1165</v>
      </c>
      <c r="AB53" s="175"/>
    </row>
    <row r="54" spans="1:28" s="139" customFormat="1" x14ac:dyDescent="0.25">
      <c r="A54" s="93" t="s">
        <v>413</v>
      </c>
      <c r="B54" s="93" t="s">
        <v>566</v>
      </c>
      <c r="C54" s="93">
        <f>_xlfn.XLOOKUP(D54,'کارکرد اداری'!$C$3:$C$106,'کارکرد اداری'!$B$3:$B$106,0,1)</f>
        <v>1142</v>
      </c>
      <c r="D54" s="128">
        <v>14923</v>
      </c>
      <c r="E54" s="127" t="s">
        <v>467</v>
      </c>
      <c r="F54" s="135"/>
      <c r="G54" s="98" t="str">
        <f>_xlfn.IFNA(_xlfn.XLOOKUP(D54,'کارکرد اداری'!$C$4:$C$204,'کارکرد اداری'!$N$4:$N$204,"0",0),_xlfn.XLOOKUP(C54,'کارکرد اداری'!$C$4:$C$204,'کارکرد اداری'!$N$4:$N$204,"0",0))</f>
        <v>0</v>
      </c>
      <c r="H54" s="98">
        <f>_xlfn.XLOOKUP(D54,'کارکرد اداری'!$C$4:$C$204,'کارکرد اداری'!$K$4:$K$204,0,1)</f>
        <v>0</v>
      </c>
      <c r="I54" s="98">
        <f>_xlfn.XLOOKUP(D54,'کارکرد اداری'!$C$4:$C$204,'کارکرد اداری'!$I$4:$I$204,0,1)</f>
        <v>0</v>
      </c>
      <c r="J54" s="164" t="e" cm="1">
        <f t="array" ref="J54">_xlfn.IFNA(INDEX('کارکرد اداری'!J:J,MATCH(C54,'کارکرد اداری'!B:B,0),0),INDEX('کارکرد اداری'!J:J,MATCH(D54,'کارکرد اداری'!C:C,0),0))</f>
        <v>#N/A</v>
      </c>
      <c r="K54" s="164" t="e" cm="1">
        <f t="array" ref="K54">_xlfn.IFNA(INDEX('کارکرد اداری'!R:R,MATCH(C54,'کارکرد اداری'!B:B,0),0),INDEX('کارکرد اداری'!R:R,MATCH(D54,'کارکرد اداری'!C:C,0),0))</f>
        <v>#N/A</v>
      </c>
      <c r="L54" s="164" t="e" cm="1">
        <f t="array" ref="L54">_xlfn.IFNA(INDEX('کارکرد اداری'!S:S,MATCH(C54,'کارکرد اداری'!B:B,0),0),INDEX('کارکرد اداری'!S:S,MATCH(D54,'کارکرد اداری'!C:C,0),0))</f>
        <v>#N/A</v>
      </c>
      <c r="M54" s="164" t="e" cm="1">
        <f t="array" ref="M54">_xlfn.IFNA(INDEX('کارکرد اداری'!P:P,MATCH(C54,'کارکرد اداری'!B:B,0),0),INDEX('کارکرد اداری'!P:P,MATCH(D54,'کارکرد اداری'!C:C,0),0))</f>
        <v>#N/A</v>
      </c>
      <c r="N54" s="164" t="e" cm="1">
        <f t="array" ref="N54">_xlfn.IFNA(INDEX('کارکرد اداری'!Q:Q,MATCH(C54,'کارکرد اداری'!B:B,0),0),INDEX('کارکرد اداری'!Q:Q,MATCH(D54,'کارکرد اداری'!C:C,0),0))</f>
        <v>#N/A</v>
      </c>
      <c r="O54" s="95" t="e">
        <f t="shared" si="9"/>
        <v>#N/A</v>
      </c>
      <c r="P54" s="101" t="e">
        <f t="shared" si="10"/>
        <v>#N/A</v>
      </c>
      <c r="Q54" s="97" cm="1">
        <f t="array" ref="Q54">_xlfn.IFNA(INDEX(نهایی!CW:CW,MATCH(D54,نهایی!B:B,0),0)/60,INDEX(نهایی!CW:CW,MATCH(C54,نهایی!B:B,0),0)/60)</f>
        <v>156.33333333333334</v>
      </c>
      <c r="R54" s="97" t="e">
        <f t="shared" si="11"/>
        <v>#N/A</v>
      </c>
      <c r="S54" s="161">
        <f>_xlfn.IFNA(INDEX(نهایی!CX:CX,MATCH(D54,نهایی!B:B,0)),INDEX(نهایی!CX:CX,MATCH(C54,نهایی!B:B,0)))</f>
        <v>151.59764332583717</v>
      </c>
      <c r="T54" s="96">
        <f t="shared" si="12"/>
        <v>4.7356900074961743</v>
      </c>
      <c r="U54" s="97" t="str">
        <f t="shared" si="13"/>
        <v/>
      </c>
      <c r="V54" s="96" t="e">
        <f t="shared" si="14"/>
        <v>#N/A</v>
      </c>
      <c r="W54" s="97" t="e">
        <f t="shared" si="15"/>
        <v>#N/A</v>
      </c>
      <c r="X54" s="96" t="e">
        <f t="shared" si="16"/>
        <v>#N/A</v>
      </c>
      <c r="Y54" s="94" t="e">
        <f t="shared" si="17"/>
        <v>#N/A</v>
      </c>
      <c r="Z54" s="27">
        <f>VLOOKUP(C54,نهایی!B:B,1,0)</f>
        <v>1142</v>
      </c>
      <c r="AA54" s="27" t="e">
        <f>VLOOKUP(D54,نهایی!B:B,1,0)</f>
        <v>#N/A</v>
      </c>
      <c r="AB54" s="175"/>
    </row>
    <row r="55" spans="1:28" x14ac:dyDescent="0.25">
      <c r="A55" s="93" t="s">
        <v>413</v>
      </c>
      <c r="B55" s="93"/>
      <c r="C55" s="93">
        <v>1161</v>
      </c>
      <c r="D55" s="100">
        <v>1161</v>
      </c>
      <c r="E55" s="93" t="s">
        <v>496</v>
      </c>
      <c r="F55" s="135"/>
      <c r="G55" s="98" t="e">
        <f>_xlfn.IFNA(_xlfn.XLOOKUP(D55,'کارکرد اداری'!$C$4:$C$204,'کارکرد اداری'!$N$4:$N$204,"0",0),_xlfn.XLOOKUP(C55,'کارکرد اداری'!$C$4:$C$204,'کارکرد اداری'!$N$4:$N$204,"0",0))</f>
        <v>#N/A</v>
      </c>
      <c r="H55" s="98">
        <f>_xlfn.XLOOKUP(D55,'کارکرد اداری'!$C$4:$C$204,'کارکرد اداری'!$K$4:$K$204,0,1)</f>
        <v>0</v>
      </c>
      <c r="I55" s="98">
        <f>_xlfn.XLOOKUP(D55,'کارکرد اداری'!$C$4:$C$204,'کارکرد اداری'!$I$4:$I$204,0,1)</f>
        <v>0</v>
      </c>
      <c r="J55" s="164" t="e" cm="1">
        <f t="array" ref="J55">_xlfn.IFNA(INDEX('کارکرد اداری'!J:J,MATCH(C55,'کارکرد اداری'!B:B,0),0),INDEX('کارکرد اداری'!J:J,MATCH(D55,'کارکرد اداری'!C:C,0),0))</f>
        <v>#N/A</v>
      </c>
      <c r="K55" s="164" t="e" cm="1">
        <f t="array" ref="K55">_xlfn.IFNA(INDEX('کارکرد اداری'!R:R,MATCH(C55,'کارکرد اداری'!B:B,0),0),INDEX('کارکرد اداری'!R:R,MATCH(D55,'کارکرد اداری'!C:C,0),0))</f>
        <v>#N/A</v>
      </c>
      <c r="L55" s="164" t="e" cm="1">
        <f t="array" ref="L55">_xlfn.IFNA(INDEX('کارکرد اداری'!S:S,MATCH(C55,'کارکرد اداری'!B:B,0),0),INDEX('کارکرد اداری'!S:S,MATCH(D55,'کارکرد اداری'!C:C,0),0))</f>
        <v>#N/A</v>
      </c>
      <c r="M55" s="164" t="e" cm="1">
        <f t="array" ref="M55">_xlfn.IFNA(INDEX('کارکرد اداری'!P:P,MATCH(C55,'کارکرد اداری'!B:B,0),0),INDEX('کارکرد اداری'!P:P,MATCH(D55,'کارکرد اداری'!C:C,0),0))</f>
        <v>#N/A</v>
      </c>
      <c r="N55" s="164" t="e" cm="1">
        <f t="array" ref="N55">_xlfn.IFNA(INDEX('کارکرد اداری'!Q:Q,MATCH(C55,'کارکرد اداری'!B:B,0),0),INDEX('کارکرد اداری'!Q:Q,MATCH(D55,'کارکرد اداری'!C:C,0),0))</f>
        <v>#N/A</v>
      </c>
      <c r="O55" s="95" t="e">
        <f t="shared" si="9"/>
        <v>#N/A</v>
      </c>
      <c r="P55" s="101" t="e">
        <f t="shared" si="10"/>
        <v>#N/A</v>
      </c>
      <c r="Q55" s="97" cm="1">
        <f t="array" ref="Q55">_xlfn.IFNA(INDEX(نهایی!CW:CW,MATCH(D55,نهایی!B:B,0),0)/60,INDEX(نهایی!CW:CW,MATCH(C55,نهایی!B:B,0),0)/60)</f>
        <v>119</v>
      </c>
      <c r="R55" s="97" t="e">
        <f t="shared" si="11"/>
        <v>#N/A</v>
      </c>
      <c r="S55" s="161">
        <f>_xlfn.IFNA(INDEX(نهایی!CX:CX,MATCH(D55,نهایی!B:B,0)),INDEX(نهایی!CX:CX,MATCH(C55,نهایی!B:B,0)))</f>
        <v>115.65826330532212</v>
      </c>
      <c r="T55" s="96">
        <f t="shared" si="12"/>
        <v>3.341736694677877</v>
      </c>
      <c r="U55" s="97" t="str">
        <f t="shared" si="13"/>
        <v/>
      </c>
      <c r="V55" s="96" t="e">
        <f t="shared" si="14"/>
        <v>#N/A</v>
      </c>
      <c r="W55" s="97" t="e">
        <f t="shared" si="15"/>
        <v>#N/A</v>
      </c>
      <c r="X55" s="96" t="e">
        <f t="shared" si="16"/>
        <v>#N/A</v>
      </c>
      <c r="Y55" s="94" t="e">
        <f t="shared" si="17"/>
        <v>#N/A</v>
      </c>
      <c r="Z55" s="27">
        <f>VLOOKUP(C55,نهایی!B:B,1,0)</f>
        <v>1161</v>
      </c>
      <c r="AA55" s="27">
        <f>VLOOKUP(D55,نهایی!B:B,1,0)</f>
        <v>1161</v>
      </c>
    </row>
    <row r="56" spans="1:28" x14ac:dyDescent="0.25">
      <c r="A56" s="93"/>
      <c r="B56" s="93"/>
      <c r="C56" s="93">
        <v>1136</v>
      </c>
      <c r="D56" s="100">
        <v>1136</v>
      </c>
      <c r="E56" s="93" t="s">
        <v>493</v>
      </c>
      <c r="F56" s="135"/>
      <c r="G56" s="98" t="e">
        <f>_xlfn.IFNA(_xlfn.XLOOKUP(D56,'کارکرد اداری'!$C$4:$C$204,'کارکرد اداری'!$N$4:$N$204,"0",0),_xlfn.XLOOKUP(C56,'کارکرد اداری'!$C$4:$C$204,'کارکرد اداری'!$N$4:$N$204,"0",0))</f>
        <v>#N/A</v>
      </c>
      <c r="H56" s="98">
        <f>_xlfn.XLOOKUP(D56,'کارکرد اداری'!$C$4:$C$204,'کارکرد اداری'!$K$4:$K$204,0,1)</f>
        <v>0</v>
      </c>
      <c r="I56" s="98">
        <f>_xlfn.XLOOKUP(D56,'کارکرد اداری'!$C$4:$C$204,'کارکرد اداری'!$I$4:$I$204,0,1)</f>
        <v>0</v>
      </c>
      <c r="J56" s="164" t="e" cm="1">
        <f t="array" ref="J56">_xlfn.IFNA(INDEX('کارکرد اداری'!J:J,MATCH(C56,'کارکرد اداری'!B:B,0),0),INDEX('کارکرد اداری'!J:J,MATCH(D56,'کارکرد اداری'!C:C,0),0))</f>
        <v>#N/A</v>
      </c>
      <c r="K56" s="164" t="e" cm="1">
        <f t="array" ref="K56">_xlfn.IFNA(INDEX('کارکرد اداری'!R:R,MATCH(C56,'کارکرد اداری'!B:B,0),0),INDEX('کارکرد اداری'!R:R,MATCH(D56,'کارکرد اداری'!C:C,0),0))</f>
        <v>#N/A</v>
      </c>
      <c r="L56" s="164" t="e" cm="1">
        <f t="array" ref="L56">_xlfn.IFNA(INDEX('کارکرد اداری'!S:S,MATCH(C56,'کارکرد اداری'!B:B,0),0),INDEX('کارکرد اداری'!S:S,MATCH(D56,'کارکرد اداری'!C:C,0),0))</f>
        <v>#N/A</v>
      </c>
      <c r="M56" s="164" t="e" cm="1">
        <f t="array" ref="M56">_xlfn.IFNA(INDEX('کارکرد اداری'!P:P,MATCH(C56,'کارکرد اداری'!B:B,0),0),INDEX('کارکرد اداری'!P:P,MATCH(D56,'کارکرد اداری'!C:C,0),0))</f>
        <v>#N/A</v>
      </c>
      <c r="N56" s="164" t="e" cm="1">
        <f t="array" ref="N56">_xlfn.IFNA(INDEX('کارکرد اداری'!Q:Q,MATCH(C56,'کارکرد اداری'!B:B,0),0),INDEX('کارکرد اداری'!Q:Q,MATCH(D56,'کارکرد اداری'!C:C,0),0))</f>
        <v>#N/A</v>
      </c>
      <c r="O56" s="95" t="e">
        <f t="shared" si="9"/>
        <v>#N/A</v>
      </c>
      <c r="P56" s="101" t="e">
        <f t="shared" si="10"/>
        <v>#N/A</v>
      </c>
      <c r="Q56" s="97" cm="1">
        <f t="array" ref="Q56">_xlfn.IFNA(INDEX(نهایی!CW:CW,MATCH(D56,نهایی!B:B,0),0)/60,INDEX(نهایی!CW:CW,MATCH(C56,نهایی!B:B,0),0)/60)</f>
        <v>136.66666666666666</v>
      </c>
      <c r="R56" s="97" t="e">
        <f t="shared" si="11"/>
        <v>#N/A</v>
      </c>
      <c r="S56" s="161">
        <f>_xlfn.IFNA(INDEX(نهایی!CX:CX,MATCH(D56,نهایی!B:B,0)),INDEX(نهایی!CX:CX,MATCH(C56,نهایی!B:B,0)))</f>
        <v>132.83868546343191</v>
      </c>
      <c r="T56" s="96">
        <f t="shared" si="12"/>
        <v>3.8279812032347422</v>
      </c>
      <c r="U56" s="97" t="str">
        <f t="shared" si="13"/>
        <v/>
      </c>
      <c r="V56" s="96" t="e">
        <f t="shared" si="14"/>
        <v>#N/A</v>
      </c>
      <c r="W56" s="97" t="e">
        <f t="shared" si="15"/>
        <v>#N/A</v>
      </c>
      <c r="X56" s="96" t="e">
        <f t="shared" si="16"/>
        <v>#N/A</v>
      </c>
      <c r="Y56" s="94" t="e">
        <f t="shared" si="17"/>
        <v>#N/A</v>
      </c>
      <c r="Z56" s="27">
        <f>VLOOKUP(C56,نهایی!B:B,1,0)</f>
        <v>1136</v>
      </c>
      <c r="AA56" s="27">
        <f>VLOOKUP(D56,نهایی!B:B,1,0)</f>
        <v>1136</v>
      </c>
    </row>
    <row r="57" spans="1:28" x14ac:dyDescent="0.25">
      <c r="A57" s="93" t="s">
        <v>413</v>
      </c>
      <c r="B57" s="93"/>
      <c r="C57" s="93">
        <f>_xlfn.XLOOKUP(D57,'کارکرد اداری'!$C$3:$C$106,'کارکرد اداری'!$B$3:$B$106,0,1)</f>
        <v>1136</v>
      </c>
      <c r="D57" s="98">
        <v>1133</v>
      </c>
      <c r="E57" s="93" t="s">
        <v>482</v>
      </c>
      <c r="F57" s="133"/>
      <c r="G57" s="98" t="str">
        <f>_xlfn.IFNA(_xlfn.XLOOKUP(D57,'کارکرد اداری'!$C$4:$C$204,'کارکرد اداری'!$N$4:$N$204,"0",0),_xlfn.XLOOKUP(C57,'کارکرد اداری'!$C$4:$C$204,'کارکرد اداری'!$N$4:$N$204,"0",0))</f>
        <v>0</v>
      </c>
      <c r="H57" s="98">
        <f>_xlfn.XLOOKUP(D57,'کارکرد اداری'!$C$4:$C$204,'کارکرد اداری'!$K$4:$K$204,0,1)</f>
        <v>0</v>
      </c>
      <c r="I57" s="98">
        <f>_xlfn.XLOOKUP(D57,'کارکرد اداری'!$C$4:$C$204,'کارکرد اداری'!$I$4:$I$204,0,1)</f>
        <v>0</v>
      </c>
      <c r="J57" s="164" t="e" cm="1">
        <f t="array" ref="J57">_xlfn.IFNA(INDEX('کارکرد اداری'!J:J,MATCH(C57,'کارکرد اداری'!B:B,0),0),INDEX('کارکرد اداری'!J:J,MATCH(D57,'کارکرد اداری'!C:C,0),0))</f>
        <v>#N/A</v>
      </c>
      <c r="K57" s="164" t="e" cm="1">
        <f t="array" ref="K57">_xlfn.IFNA(INDEX('کارکرد اداری'!R:R,MATCH(C57,'کارکرد اداری'!B:B,0),0),INDEX('کارکرد اداری'!R:R,MATCH(D57,'کارکرد اداری'!C:C,0),0))</f>
        <v>#N/A</v>
      </c>
      <c r="L57" s="164" t="e" cm="1">
        <f t="array" ref="L57">_xlfn.IFNA(INDEX('کارکرد اداری'!S:S,MATCH(C57,'کارکرد اداری'!B:B,0),0),INDEX('کارکرد اداری'!S:S,MATCH(D57,'کارکرد اداری'!C:C,0),0))</f>
        <v>#N/A</v>
      </c>
      <c r="M57" s="164" t="e" cm="1">
        <f t="array" ref="M57">_xlfn.IFNA(INDEX('کارکرد اداری'!P:P,MATCH(C57,'کارکرد اداری'!B:B,0),0),INDEX('کارکرد اداری'!P:P,MATCH(D57,'کارکرد اداری'!C:C,0),0))</f>
        <v>#N/A</v>
      </c>
      <c r="N57" s="164" t="e" cm="1">
        <f t="array" ref="N57">_xlfn.IFNA(INDEX('کارکرد اداری'!Q:Q,MATCH(C57,'کارکرد اداری'!B:B,0),0),INDEX('کارکرد اداری'!Q:Q,MATCH(D57,'کارکرد اداری'!C:C,0),0))</f>
        <v>#N/A</v>
      </c>
      <c r="O57" s="95" t="e">
        <f t="shared" si="9"/>
        <v>#N/A</v>
      </c>
      <c r="P57" s="101" t="e">
        <f t="shared" si="10"/>
        <v>#N/A</v>
      </c>
      <c r="Q57" s="97" cm="1">
        <f t="array" ref="Q57">_xlfn.IFNA(INDEX(نهایی!CW:CW,MATCH(D57,نهایی!B:B,0),0)/60,INDEX(نهایی!CW:CW,MATCH(C57,نهایی!B:B,0),0)/60)</f>
        <v>136.66666666666666</v>
      </c>
      <c r="R57" s="97" t="e">
        <f t="shared" si="11"/>
        <v>#N/A</v>
      </c>
      <c r="S57" s="161">
        <f>_xlfn.IFNA(INDEX(نهایی!CX:CX,MATCH(D57,نهایی!B:B,0)),INDEX(نهایی!CX:CX,MATCH(C57,نهایی!B:B,0)))</f>
        <v>132.83868546343191</v>
      </c>
      <c r="T57" s="96">
        <f t="shared" si="12"/>
        <v>3.8279812032347422</v>
      </c>
      <c r="U57" s="97" t="str">
        <f t="shared" si="13"/>
        <v/>
      </c>
      <c r="V57" s="96" t="e">
        <f>IF(P57&gt;S57,P57-S57,"")</f>
        <v>#N/A</v>
      </c>
      <c r="W57" s="97" t="e">
        <f t="shared" si="15"/>
        <v>#N/A</v>
      </c>
      <c r="X57" s="96" t="e">
        <f t="shared" si="16"/>
        <v>#N/A</v>
      </c>
      <c r="Y57" s="94" t="e">
        <f t="shared" si="17"/>
        <v>#N/A</v>
      </c>
      <c r="Z57" s="27">
        <f>VLOOKUP(C57,نهایی!B:B,1,0)</f>
        <v>1136</v>
      </c>
      <c r="AA57" s="27" t="e">
        <f>VLOOKUP(D57,نهایی!B:B,1,0)</f>
        <v>#N/A</v>
      </c>
    </row>
    <row r="58" spans="1:28" x14ac:dyDescent="0.25">
      <c r="A58" s="93"/>
      <c r="B58" s="93"/>
      <c r="C58" s="93">
        <f>_xlfn.XLOOKUP(D58,'کارکرد اداری'!$C$3:$C$106,'کارکرد اداری'!$B$3:$B$106,0,1)</f>
        <v>1086</v>
      </c>
      <c r="D58" s="99">
        <v>14881</v>
      </c>
      <c r="E58" s="93" t="s">
        <v>420</v>
      </c>
      <c r="F58" s="133"/>
      <c r="G58" s="98" t="str">
        <f>_xlfn.IFNA(_xlfn.XLOOKUP(D58,'کارکرد اداری'!$C$4:$C$204,'کارکرد اداری'!$N$4:$N$204,"0",0),_xlfn.XLOOKUP(C58,'کارکرد اداری'!$C$4:$C$204,'کارکرد اداری'!$N$4:$N$204,"0",0))</f>
        <v>0</v>
      </c>
      <c r="H58" s="98">
        <f>_xlfn.XLOOKUP(D58,'کارکرد اداری'!$C$4:$C$204,'کارکرد اداری'!$K$4:$K$204,0,1)</f>
        <v>0</v>
      </c>
      <c r="I58" s="98">
        <f>_xlfn.XLOOKUP(D58,'کارکرد اداری'!$C$4:$C$204,'کارکرد اداری'!$I$4:$I$204,0,1)</f>
        <v>0</v>
      </c>
      <c r="J58" s="164" t="e" cm="1">
        <f t="array" ref="J58">_xlfn.IFNA(INDEX('کارکرد اداری'!J:J,MATCH(C58,'کارکرد اداری'!B:B,0),0),INDEX('کارکرد اداری'!J:J,MATCH(D58,'کارکرد اداری'!C:C,0),0))</f>
        <v>#N/A</v>
      </c>
      <c r="K58" s="164" t="e" cm="1">
        <f t="array" ref="K58">_xlfn.IFNA(INDEX('کارکرد اداری'!R:R,MATCH(C58,'کارکرد اداری'!B:B,0),0),INDEX('کارکرد اداری'!R:R,MATCH(D58,'کارکرد اداری'!C:C,0),0))</f>
        <v>#N/A</v>
      </c>
      <c r="L58" s="164" t="e" cm="1">
        <f t="array" ref="L58">_xlfn.IFNA(INDEX('کارکرد اداری'!S:S,MATCH(C58,'کارکرد اداری'!B:B,0),0),INDEX('کارکرد اداری'!S:S,MATCH(D58,'کارکرد اداری'!C:C,0),0))</f>
        <v>#N/A</v>
      </c>
      <c r="M58" s="164" t="e" cm="1">
        <f t="array" ref="M58">_xlfn.IFNA(INDEX('کارکرد اداری'!P:P,MATCH(C58,'کارکرد اداری'!B:B,0),0),INDEX('کارکرد اداری'!P:P,MATCH(D58,'کارکرد اداری'!C:C,0),0))</f>
        <v>#N/A</v>
      </c>
      <c r="N58" s="164" t="e" cm="1">
        <f t="array" ref="N58">_xlfn.IFNA(INDEX('کارکرد اداری'!Q:Q,MATCH(C58,'کارکرد اداری'!B:B,0),0),INDEX('کارکرد اداری'!Q:Q,MATCH(D58,'کارکرد اداری'!C:C,0),0))</f>
        <v>#N/A</v>
      </c>
      <c r="O58" s="95" t="e">
        <f t="shared" si="9"/>
        <v>#N/A</v>
      </c>
      <c r="P58" s="101" t="e">
        <f t="shared" si="10"/>
        <v>#N/A</v>
      </c>
      <c r="Q58" s="97" cm="1">
        <f t="array" ref="Q58">_xlfn.IFNA(INDEX(نهایی!CW:CW,MATCH(D58,نهایی!B:B,0),0)/60,INDEX(نهایی!CW:CW,MATCH(C58,نهایی!B:B,0),0)/60)</f>
        <v>136.66666666666666</v>
      </c>
      <c r="R58" s="97" t="e">
        <f t="shared" si="11"/>
        <v>#N/A</v>
      </c>
      <c r="S58" s="161">
        <f>_xlfn.IFNA(INDEX(نهایی!CX:CX,MATCH(D58,نهایی!B:B,0)),INDEX(نهایی!CX:CX,MATCH(C58,نهایی!B:B,0)))</f>
        <v>133.23891402714932</v>
      </c>
      <c r="T58" s="96">
        <f t="shared" si="12"/>
        <v>3.4277526395173368</v>
      </c>
      <c r="U58" s="97" t="str">
        <f t="shared" si="13"/>
        <v/>
      </c>
      <c r="V58" s="96" t="e">
        <f t="shared" si="14"/>
        <v>#N/A</v>
      </c>
      <c r="W58" s="97" t="e">
        <f t="shared" si="15"/>
        <v>#N/A</v>
      </c>
      <c r="X58" s="96" t="e">
        <f t="shared" si="16"/>
        <v>#N/A</v>
      </c>
      <c r="Y58" s="94" t="e">
        <f t="shared" si="17"/>
        <v>#N/A</v>
      </c>
      <c r="Z58" s="27">
        <f>VLOOKUP(C58,نهایی!B:B,1,0)</f>
        <v>1086</v>
      </c>
      <c r="AA58" s="27" t="e">
        <f>VLOOKUP(D58,نهایی!B:B,1,0)</f>
        <v>#N/A</v>
      </c>
    </row>
    <row r="59" spans="1:28" s="139" customFormat="1" x14ac:dyDescent="0.25">
      <c r="A59" s="93" t="s">
        <v>413</v>
      </c>
      <c r="B59" s="93" t="s">
        <v>566</v>
      </c>
      <c r="C59" s="93">
        <f>_xlfn.XLOOKUP(D59,'کارکرد اداری'!$C$3:$C$106,'کارکرد اداری'!$B$3:$B$106,0,1)</f>
        <v>1146</v>
      </c>
      <c r="D59" s="98">
        <v>14922</v>
      </c>
      <c r="E59" s="93" t="s">
        <v>470</v>
      </c>
      <c r="F59" s="133"/>
      <c r="G59" s="98" t="str">
        <f>_xlfn.IFNA(_xlfn.XLOOKUP(D59,'کارکرد اداری'!$C$4:$C$204,'کارکرد اداری'!$N$4:$N$204,"0",0),_xlfn.XLOOKUP(C59,'کارکرد اداری'!$C$4:$C$204,'کارکرد اداری'!$N$4:$N$204,"0",0))</f>
        <v>0</v>
      </c>
      <c r="H59" s="98">
        <f>_xlfn.XLOOKUP(D59,'کارکرد اداری'!$C$4:$C$204,'کارکرد اداری'!$K$4:$K$204,0,1)</f>
        <v>0</v>
      </c>
      <c r="I59" s="98">
        <f>_xlfn.XLOOKUP(D59,'کارکرد اداری'!$C$4:$C$204,'کارکرد اداری'!$I$4:$I$204,0,1)</f>
        <v>0</v>
      </c>
      <c r="J59" s="164" t="e" cm="1">
        <f t="array" ref="J59">_xlfn.IFNA(INDEX('کارکرد اداری'!J:J,MATCH(C59,'کارکرد اداری'!B:B,0),0),INDEX('کارکرد اداری'!J:J,MATCH(D59,'کارکرد اداری'!C:C,0),0))</f>
        <v>#N/A</v>
      </c>
      <c r="K59" s="164" t="e" cm="1">
        <f t="array" ref="K59">_xlfn.IFNA(INDEX('کارکرد اداری'!R:R,MATCH(C59,'کارکرد اداری'!B:B,0),0),INDEX('کارکرد اداری'!R:R,MATCH(D59,'کارکرد اداری'!C:C,0),0))</f>
        <v>#N/A</v>
      </c>
      <c r="L59" s="164" t="e" cm="1">
        <f t="array" ref="L59">_xlfn.IFNA(INDEX('کارکرد اداری'!S:S,MATCH(C59,'کارکرد اداری'!B:B,0),0),INDEX('کارکرد اداری'!S:S,MATCH(D59,'کارکرد اداری'!C:C,0),0))</f>
        <v>#N/A</v>
      </c>
      <c r="M59" s="164" t="e" cm="1">
        <f t="array" ref="M59">_xlfn.IFNA(INDEX('کارکرد اداری'!P:P,MATCH(C59,'کارکرد اداری'!B:B,0),0),INDEX('کارکرد اداری'!P:P,MATCH(D59,'کارکرد اداری'!C:C,0),0))</f>
        <v>#N/A</v>
      </c>
      <c r="N59" s="164" t="e" cm="1">
        <f t="array" ref="N59">_xlfn.IFNA(INDEX('کارکرد اداری'!Q:Q,MATCH(C59,'کارکرد اداری'!B:B,0),0),INDEX('کارکرد اداری'!Q:Q,MATCH(D59,'کارکرد اداری'!C:C,0),0))</f>
        <v>#N/A</v>
      </c>
      <c r="O59" s="95" t="e">
        <f t="shared" si="9"/>
        <v>#N/A</v>
      </c>
      <c r="P59" s="101" t="e">
        <f t="shared" si="10"/>
        <v>#N/A</v>
      </c>
      <c r="Q59" s="97" cm="1">
        <f t="array" ref="Q59">_xlfn.IFNA(INDEX(نهایی!CW:CW,MATCH(D59,نهایی!B:B,0),0)/60,INDEX(نهایی!CW:CW,MATCH(C59,نهایی!B:B,0),0)/60)</f>
        <v>127.33333333333333</v>
      </c>
      <c r="R59" s="97" t="e">
        <f t="shared" si="11"/>
        <v>#N/A</v>
      </c>
      <c r="S59" s="161">
        <f>_xlfn.IFNA(INDEX(نهایی!CX:CX,MATCH(D59,نهایی!B:B,0)),INDEX(نهایی!CX:CX,MATCH(C59,نهایی!B:B,0)))</f>
        <v>123.16853146853147</v>
      </c>
      <c r="T59" s="96">
        <f t="shared" si="12"/>
        <v>4.1648018648018592</v>
      </c>
      <c r="U59" s="97" t="str">
        <f t="shared" si="13"/>
        <v/>
      </c>
      <c r="V59" s="96" t="e">
        <f t="shared" si="14"/>
        <v>#N/A</v>
      </c>
      <c r="W59" s="97" t="e">
        <f t="shared" si="15"/>
        <v>#N/A</v>
      </c>
      <c r="X59" s="96" t="e">
        <f t="shared" si="16"/>
        <v>#N/A</v>
      </c>
      <c r="Y59" s="94" t="e">
        <f t="shared" si="17"/>
        <v>#N/A</v>
      </c>
      <c r="Z59" s="27">
        <f>VLOOKUP(C59,نهایی!B:B,1,0)</f>
        <v>1146</v>
      </c>
      <c r="AA59" s="27" t="e">
        <f>VLOOKUP(D59,نهایی!B:B,1,0)</f>
        <v>#N/A</v>
      </c>
      <c r="AB59" s="175"/>
    </row>
    <row r="60" spans="1:28" s="71" customFormat="1" x14ac:dyDescent="0.25">
      <c r="A60" s="93" t="s">
        <v>352</v>
      </c>
      <c r="B60" s="93" t="s">
        <v>208</v>
      </c>
      <c r="C60" s="93">
        <f>_xlfn.XLOOKUP(D60,'کارکرد اداری'!$C$3:$C$106,'کارکرد اداری'!$B$3:$B$106,0,1)</f>
        <v>109</v>
      </c>
      <c r="D60" s="100">
        <v>14162</v>
      </c>
      <c r="E60" s="93" t="s">
        <v>328</v>
      </c>
      <c r="F60" s="93"/>
      <c r="G60" s="98" t="str">
        <f>_xlfn.IFNA(_xlfn.XLOOKUP(D60,'کارکرد اداری'!$C$4:$C$204,'کارکرد اداری'!$N$4:$N$204,"0",0),_xlfn.XLOOKUP(C60,'کارکرد اداری'!$C$4:$C$204,'کارکرد اداری'!$N$4:$N$204,"0",0))</f>
        <v>0</v>
      </c>
      <c r="H60" s="98">
        <f>_xlfn.XLOOKUP(D60,'کارکرد اداری'!$C$4:$C$204,'کارکرد اداری'!$K$4:$K$204,0,1)</f>
        <v>0</v>
      </c>
      <c r="I60" s="98">
        <f>_xlfn.XLOOKUP(D60,'کارکرد اداری'!$C$4:$C$204,'کارکرد اداری'!$I$4:$I$204,0,1)</f>
        <v>0</v>
      </c>
      <c r="J60" s="164" t="e" cm="1">
        <f t="array" ref="J60">_xlfn.IFNA(INDEX('کارکرد اداری'!J:J,MATCH(C60,'کارکرد اداری'!B:B,0),0),INDEX('کارکرد اداری'!J:J,MATCH(D60,'کارکرد اداری'!C:C,0),0))</f>
        <v>#N/A</v>
      </c>
      <c r="K60" s="164" t="e" cm="1">
        <f t="array" ref="K60">_xlfn.IFNA(INDEX('کارکرد اداری'!R:R,MATCH(C60,'کارکرد اداری'!B:B,0),0),INDEX('کارکرد اداری'!R:R,MATCH(D60,'کارکرد اداری'!C:C,0),0))</f>
        <v>#N/A</v>
      </c>
      <c r="L60" s="164" t="e" cm="1">
        <f t="array" ref="L60">_xlfn.IFNA(INDEX('کارکرد اداری'!S:S,MATCH(C60,'کارکرد اداری'!B:B,0),0),INDEX('کارکرد اداری'!S:S,MATCH(D60,'کارکرد اداری'!C:C,0),0))</f>
        <v>#N/A</v>
      </c>
      <c r="M60" s="164" t="e" cm="1">
        <f t="array" ref="M60">_xlfn.IFNA(INDEX('کارکرد اداری'!P:P,MATCH(C60,'کارکرد اداری'!B:B,0),0),INDEX('کارکرد اداری'!P:P,MATCH(D60,'کارکرد اداری'!C:C,0),0))</f>
        <v>#N/A</v>
      </c>
      <c r="N60" s="164" t="e" cm="1">
        <f t="array" ref="N60">_xlfn.IFNA(INDEX('کارکرد اداری'!Q:Q,MATCH(C60,'کارکرد اداری'!B:B,0),0),INDEX('کارکرد اداری'!Q:Q,MATCH(D60,'کارکرد اداری'!C:C,0),0))</f>
        <v>#N/A</v>
      </c>
      <c r="O60" s="100" t="e">
        <f>$F$1-$M$1-G60-H60-I60-J60-1</f>
        <v>#N/A</v>
      </c>
      <c r="P60" s="96" t="e">
        <f t="shared" si="10"/>
        <v>#N/A</v>
      </c>
      <c r="Q60" s="97" cm="1">
        <f t="array" ref="Q60">_xlfn.IFNA(INDEX(نهایی!CW:CW,MATCH(D60,نهایی!B:B,0),0)/60,INDEX(نهایی!CW:CW,MATCH(C60,نهایی!B:B,0),0)/60)</f>
        <v>106</v>
      </c>
      <c r="R60" s="97" t="e">
        <f t="shared" si="11"/>
        <v>#N/A</v>
      </c>
      <c r="S60" s="161">
        <f>_xlfn.IFNA(INDEX(نهایی!CX:CX,MATCH(D60,نهایی!B:B,0)),INDEX(نهایی!CX:CX,MATCH(C60,نهایی!B:B,0)))</f>
        <v>106.07107990856579</v>
      </c>
      <c r="T60" s="96" t="str">
        <f t="shared" si="12"/>
        <v/>
      </c>
      <c r="U60" s="97">
        <f t="shared" si="13"/>
        <v>7.1079908565792493E-2</v>
      </c>
      <c r="V60" s="96" t="e">
        <f t="shared" si="14"/>
        <v>#N/A</v>
      </c>
      <c r="W60" s="97" t="e">
        <f t="shared" si="15"/>
        <v>#N/A</v>
      </c>
      <c r="X60" s="96" t="e">
        <f t="shared" si="16"/>
        <v>#N/A</v>
      </c>
      <c r="Y60" s="94" t="e">
        <f t="shared" si="17"/>
        <v>#N/A</v>
      </c>
      <c r="Z60" s="27" t="e">
        <f>VLOOKUP(C60,نهایی!B:B,1,0)</f>
        <v>#N/A</v>
      </c>
      <c r="AA60" s="27">
        <f>VLOOKUP(D60,نهایی!B:B,1,0)</f>
        <v>14162</v>
      </c>
      <c r="AB60" s="173"/>
    </row>
    <row r="61" spans="1:28" s="71" customFormat="1" x14ac:dyDescent="0.25">
      <c r="A61" s="127" t="s">
        <v>352</v>
      </c>
      <c r="B61" s="127" t="s">
        <v>589</v>
      </c>
      <c r="C61" s="93">
        <f>_xlfn.XLOOKUP(D61,'کارکرد اداری'!$C$3:$C$106,'کارکرد اداری'!$B$3:$B$106,0,1)</f>
        <v>981</v>
      </c>
      <c r="D61" s="128">
        <v>14775</v>
      </c>
      <c r="E61" s="93" t="s">
        <v>403</v>
      </c>
      <c r="F61" s="127"/>
      <c r="G61" s="98" t="str">
        <f>_xlfn.IFNA(_xlfn.XLOOKUP(D61,'کارکرد اداری'!$C$4:$C$204,'کارکرد اداری'!$N$4:$N$204,"0",0),_xlfn.XLOOKUP(C61,'کارکرد اداری'!$C$4:$C$204,'کارکرد اداری'!$N$4:$N$204,"0",0))</f>
        <v>0</v>
      </c>
      <c r="H61" s="98">
        <f>_xlfn.XLOOKUP(D61,'کارکرد اداری'!$C$4:$C$204,'کارکرد اداری'!$K$4:$K$204,0,1)</f>
        <v>0</v>
      </c>
      <c r="I61" s="98">
        <f>_xlfn.XLOOKUP(D61,'کارکرد اداری'!$C$4:$C$204,'کارکرد اداری'!$I$4:$I$204,0,1)</f>
        <v>0</v>
      </c>
      <c r="J61" s="164" t="e" cm="1">
        <f t="array" ref="J61">_xlfn.IFNA(INDEX('کارکرد اداری'!J:J,MATCH(C61,'کارکرد اداری'!B:B,0),0),INDEX('کارکرد اداری'!J:J,MATCH(D61,'کارکرد اداری'!C:C,0),0))</f>
        <v>#N/A</v>
      </c>
      <c r="K61" s="164" t="e" cm="1">
        <f t="array" ref="K61">_xlfn.IFNA(INDEX('کارکرد اداری'!R:R,MATCH(C61,'کارکرد اداری'!B:B,0),0),INDEX('کارکرد اداری'!R:R,MATCH(D61,'کارکرد اداری'!C:C,0),0))</f>
        <v>#N/A</v>
      </c>
      <c r="L61" s="164" t="e" cm="1">
        <f t="array" ref="L61">_xlfn.IFNA(INDEX('کارکرد اداری'!S:S,MATCH(C61,'کارکرد اداری'!B:B,0),0),INDEX('کارکرد اداری'!S:S,MATCH(D61,'کارکرد اداری'!C:C,0),0))</f>
        <v>#N/A</v>
      </c>
      <c r="M61" s="164" t="e" cm="1">
        <f t="array" ref="M61">_xlfn.IFNA(INDEX('کارکرد اداری'!P:P,MATCH(C61,'کارکرد اداری'!B:B,0),0),INDEX('کارکرد اداری'!P:P,MATCH(D61,'کارکرد اداری'!C:C,0),0))</f>
        <v>#N/A</v>
      </c>
      <c r="N61" s="164" t="e" cm="1">
        <f t="array" ref="N61">_xlfn.IFNA(INDEX('کارکرد اداری'!Q:Q,MATCH(C61,'کارکرد اداری'!B:B,0),0),INDEX('کارکرد اداری'!Q:Q,MATCH(D61,'کارکرد اداری'!C:C,0),0))</f>
        <v>#N/A</v>
      </c>
      <c r="O61" s="100" t="e">
        <f>$F$1-$M$1-G61-H61-I61-J61-1</f>
        <v>#N/A</v>
      </c>
      <c r="P61" s="96" t="e">
        <f t="shared" si="10"/>
        <v>#N/A</v>
      </c>
      <c r="Q61" s="97" cm="1">
        <f t="array" ref="Q61">_xlfn.IFNA(INDEX(نهایی!CW:CW,MATCH(D61,نهایی!B:B,0),0)/60,INDEX(نهایی!CW:CW,MATCH(C61,نهایی!B:B,0),0)/60)</f>
        <v>122</v>
      </c>
      <c r="R61" s="97" t="e">
        <f t="shared" si="11"/>
        <v>#N/A</v>
      </c>
      <c r="S61" s="161">
        <f>_xlfn.IFNA(INDEX(نهایی!CX:CX,MATCH(D61,نهایی!B:B,0)),INDEX(نهایی!CX:CX,MATCH(C61,نهایی!B:B,0)))</f>
        <v>119.2087472087472</v>
      </c>
      <c r="T61" s="96">
        <f t="shared" si="12"/>
        <v>2.791252791252802</v>
      </c>
      <c r="U61" s="97" t="str">
        <f t="shared" si="13"/>
        <v/>
      </c>
      <c r="V61" s="96" t="e">
        <f t="shared" si="14"/>
        <v>#N/A</v>
      </c>
      <c r="W61" s="97" t="e">
        <f t="shared" si="15"/>
        <v>#N/A</v>
      </c>
      <c r="X61" s="96" t="e">
        <f t="shared" si="16"/>
        <v>#N/A</v>
      </c>
      <c r="Y61" s="94" t="e">
        <f t="shared" si="17"/>
        <v>#N/A</v>
      </c>
      <c r="Z61" s="27">
        <f>VLOOKUP(C61,نهایی!B:B,1,0)</f>
        <v>981</v>
      </c>
      <c r="AA61" s="27" t="e">
        <f>VLOOKUP(D61,نهایی!B:B,1,0)</f>
        <v>#N/A</v>
      </c>
      <c r="AB61" s="173"/>
    </row>
    <row r="62" spans="1:28" s="71" customFormat="1" x14ac:dyDescent="0.25">
      <c r="A62" s="93" t="s">
        <v>536</v>
      </c>
      <c r="B62" s="93"/>
      <c r="C62" s="93">
        <v>1158</v>
      </c>
      <c r="D62" s="93">
        <v>14409</v>
      </c>
      <c r="E62" s="93" t="s">
        <v>489</v>
      </c>
      <c r="F62" s="127"/>
      <c r="G62" s="98" t="str">
        <f>_xlfn.IFNA(_xlfn.XLOOKUP(D62,'کارکرد اداری'!$C$4:$C$204,'کارکرد اداری'!$N$4:$N$204,"0",0),_xlfn.XLOOKUP(C62,'کارکرد اداری'!$C$4:$C$204,'کارکرد اداری'!$N$4:$N$204,"0",0))</f>
        <v>0</v>
      </c>
      <c r="H62" s="98">
        <f>_xlfn.XLOOKUP(D62,'کارکرد اداری'!$C$4:$C$204,'کارکرد اداری'!$K$4:$K$204,0,1)</f>
        <v>0</v>
      </c>
      <c r="I62" s="98">
        <f>_xlfn.XLOOKUP(D62,'کارکرد اداری'!$C$4:$C$204,'کارکرد اداری'!$I$4:$I$204,0,1)</f>
        <v>0</v>
      </c>
      <c r="J62" s="164" t="e" cm="1">
        <f t="array" ref="J62">_xlfn.IFNA(INDEX('کارکرد اداری'!J:J,MATCH(C62,'کارکرد اداری'!B:B,0),0),INDEX('کارکرد اداری'!J:J,MATCH(D62,'کارکرد اداری'!C:C,0),0))</f>
        <v>#N/A</v>
      </c>
      <c r="K62" s="164" t="e" cm="1">
        <f t="array" ref="K62">_xlfn.IFNA(INDEX('کارکرد اداری'!R:R,MATCH(C62,'کارکرد اداری'!B:B,0),0),INDEX('کارکرد اداری'!R:R,MATCH(D62,'کارکرد اداری'!C:C,0),0))</f>
        <v>#N/A</v>
      </c>
      <c r="L62" s="164" t="e" cm="1">
        <f t="array" ref="L62">_xlfn.IFNA(INDEX('کارکرد اداری'!S:S,MATCH(C62,'کارکرد اداری'!B:B,0),0),INDEX('کارکرد اداری'!S:S,MATCH(D62,'کارکرد اداری'!C:C,0),0))</f>
        <v>#N/A</v>
      </c>
      <c r="M62" s="164" t="e" cm="1">
        <f t="array" ref="M62">_xlfn.IFNA(INDEX('کارکرد اداری'!P:P,MATCH(C62,'کارکرد اداری'!B:B,0),0),INDEX('کارکرد اداری'!P:P,MATCH(D62,'کارکرد اداری'!C:C,0),0))</f>
        <v>#N/A</v>
      </c>
      <c r="N62" s="164" t="e" cm="1">
        <f t="array" ref="N62">_xlfn.IFNA(INDEX('کارکرد اداری'!Q:Q,MATCH(C62,'کارکرد اداری'!B:B,0),0),INDEX('کارکرد اداری'!Q:Q,MATCH(D62,'کارکرد اداری'!C:C,0),0))</f>
        <v>#N/A</v>
      </c>
      <c r="O62" s="95" t="e">
        <f t="shared" ref="O62:O84" si="18">$F$1-$M$1-G62-H62-I62-J62</f>
        <v>#N/A</v>
      </c>
      <c r="P62" s="96" t="e">
        <f t="shared" si="10"/>
        <v>#N/A</v>
      </c>
      <c r="Q62" s="97" cm="1">
        <f t="array" ref="Q62">_xlfn.IFNA(INDEX(نهایی!CW:CW,MATCH(D62,نهایی!B:B,0),0)/60,INDEX(نهایی!CW:CW,MATCH(C62,نهایی!B:B,0),0)/60)</f>
        <v>126.33333333333333</v>
      </c>
      <c r="R62" s="97" t="e">
        <f t="shared" si="11"/>
        <v>#N/A</v>
      </c>
      <c r="S62" s="161">
        <f>_xlfn.IFNA(INDEX(نهایی!CX:CX,MATCH(D62,نهایی!B:B,0)),INDEX(نهایی!CX:CX,MATCH(C62,نهایی!B:B,0)))</f>
        <v>124.38567527864956</v>
      </c>
      <c r="T62" s="96">
        <f t="shared" si="12"/>
        <v>1.947658054683771</v>
      </c>
      <c r="U62" s="97" t="str">
        <f t="shared" si="13"/>
        <v/>
      </c>
      <c r="V62" s="96" t="e">
        <f t="shared" si="14"/>
        <v>#N/A</v>
      </c>
      <c r="W62" s="97" t="e">
        <f t="shared" si="15"/>
        <v>#N/A</v>
      </c>
      <c r="X62" s="96" t="e">
        <f t="shared" si="16"/>
        <v>#N/A</v>
      </c>
      <c r="Y62" s="94" t="e">
        <f t="shared" si="17"/>
        <v>#N/A</v>
      </c>
      <c r="Z62" s="27" t="e">
        <f>VLOOKUP(C62,نهایی!B:B,1,0)</f>
        <v>#N/A</v>
      </c>
      <c r="AA62" s="27">
        <f>VLOOKUP(D62,نهایی!B:B,1,0)</f>
        <v>14409</v>
      </c>
      <c r="AB62" s="173"/>
    </row>
    <row r="63" spans="1:28" s="71" customFormat="1" x14ac:dyDescent="0.25">
      <c r="A63" s="93"/>
      <c r="B63" s="93"/>
      <c r="C63" s="93">
        <f>_xlfn.XLOOKUP(D63,'کارکرد اداری'!$C$3:$C$106,'کارکرد اداری'!$B$3:$B$106,0,1)</f>
        <v>1120</v>
      </c>
      <c r="D63" s="100">
        <v>14899</v>
      </c>
      <c r="E63" s="93" t="s">
        <v>436</v>
      </c>
      <c r="F63" s="127"/>
      <c r="G63" s="98" t="str">
        <f>_xlfn.IFNA(_xlfn.XLOOKUP(D63,'کارکرد اداری'!$C$4:$C$204,'کارکرد اداری'!$N$4:$N$204,"0",0),_xlfn.XLOOKUP(C63,'کارکرد اداری'!$C$4:$C$204,'کارکرد اداری'!$N$4:$N$204,"0",0))</f>
        <v>0</v>
      </c>
      <c r="H63" s="98">
        <f>_xlfn.XLOOKUP(D63,'کارکرد اداری'!$C$4:$C$204,'کارکرد اداری'!$K$4:$K$204,0,1)</f>
        <v>0</v>
      </c>
      <c r="I63" s="98">
        <f>_xlfn.XLOOKUP(D63,'کارکرد اداری'!$C$4:$C$204,'کارکرد اداری'!$I$4:$I$204,0,1)</f>
        <v>0</v>
      </c>
      <c r="J63" s="164" t="e" cm="1">
        <f t="array" ref="J63">_xlfn.IFNA(INDEX('کارکرد اداری'!J:J,MATCH(C63,'کارکرد اداری'!B:B,0),0),INDEX('کارکرد اداری'!J:J,MATCH(D63,'کارکرد اداری'!C:C,0),0))</f>
        <v>#N/A</v>
      </c>
      <c r="K63" s="164" t="e" cm="1">
        <f t="array" ref="K63">_xlfn.IFNA(INDEX('کارکرد اداری'!R:R,MATCH(C63,'کارکرد اداری'!B:B,0),0),INDEX('کارکرد اداری'!R:R,MATCH(D63,'کارکرد اداری'!C:C,0),0))</f>
        <v>#N/A</v>
      </c>
      <c r="L63" s="164" t="e" cm="1">
        <f t="array" ref="L63">_xlfn.IFNA(INDEX('کارکرد اداری'!S:S,MATCH(C63,'کارکرد اداری'!B:B,0),0),INDEX('کارکرد اداری'!S:S,MATCH(D63,'کارکرد اداری'!C:C,0),0))</f>
        <v>#N/A</v>
      </c>
      <c r="M63" s="164" t="e" cm="1">
        <f t="array" ref="M63">_xlfn.IFNA(INDEX('کارکرد اداری'!P:P,MATCH(C63,'کارکرد اداری'!B:B,0),0),INDEX('کارکرد اداری'!P:P,MATCH(D63,'کارکرد اداری'!C:C,0),0))</f>
        <v>#N/A</v>
      </c>
      <c r="N63" s="164" t="e" cm="1">
        <f t="array" ref="N63">_xlfn.IFNA(INDEX('کارکرد اداری'!Q:Q,MATCH(C63,'کارکرد اداری'!B:B,0),0),INDEX('کارکرد اداری'!Q:Q,MATCH(D63,'کارکرد اداری'!C:C,0),0))</f>
        <v>#N/A</v>
      </c>
      <c r="O63" s="95" t="e">
        <f t="shared" si="18"/>
        <v>#N/A</v>
      </c>
      <c r="P63" s="96" t="e">
        <f t="shared" si="10"/>
        <v>#N/A</v>
      </c>
      <c r="Q63" s="97" cm="1">
        <f t="array" ref="Q63">_xlfn.IFNA(INDEX(نهایی!CW:CW,MATCH(D63,نهایی!B:B,0),0)/60,INDEX(نهایی!CW:CW,MATCH(C63,نهایی!B:B,0),0)/60)</f>
        <v>86.166666666666671</v>
      </c>
      <c r="R63" s="97" t="e">
        <f t="shared" si="11"/>
        <v>#N/A</v>
      </c>
      <c r="S63" s="161">
        <f>_xlfn.IFNA(INDEX(نهایی!CX:CX,MATCH(D63,نهایی!B:B,0)),INDEX(نهایی!CX:CX,MATCH(C63,نهایی!B:B,0)))</f>
        <v>72.874212431620734</v>
      </c>
      <c r="T63" s="96">
        <f t="shared" si="12"/>
        <v>13.292454235045938</v>
      </c>
      <c r="U63" s="97" t="str">
        <f t="shared" si="13"/>
        <v/>
      </c>
      <c r="V63" s="96" t="e">
        <f t="shared" si="14"/>
        <v>#N/A</v>
      </c>
      <c r="W63" s="97" t="e">
        <f t="shared" si="15"/>
        <v>#N/A</v>
      </c>
      <c r="X63" s="96" t="e">
        <f t="shared" si="16"/>
        <v>#N/A</v>
      </c>
      <c r="Y63" s="94" t="e">
        <f t="shared" si="17"/>
        <v>#N/A</v>
      </c>
      <c r="Z63" s="27">
        <f>VLOOKUP(C63,نهایی!B:B,1,0)</f>
        <v>1120</v>
      </c>
      <c r="AA63" s="27" t="e">
        <f>VLOOKUP(D63,نهایی!B:B,1,0)</f>
        <v>#N/A</v>
      </c>
      <c r="AB63" s="173"/>
    </row>
    <row r="64" spans="1:28" s="71" customFormat="1" x14ac:dyDescent="0.25">
      <c r="A64" s="93"/>
      <c r="B64" s="93"/>
      <c r="C64" s="93">
        <f>_xlfn.XLOOKUP(D64,'کارکرد اداری'!$C$3:$C$106,'کارکرد اداری'!$B$3:$B$106,0,1)</f>
        <v>390</v>
      </c>
      <c r="D64" s="100">
        <v>14394</v>
      </c>
      <c r="E64" s="93" t="s">
        <v>236</v>
      </c>
      <c r="F64" s="127"/>
      <c r="G64" s="98" t="str">
        <f>_xlfn.IFNA(_xlfn.XLOOKUP(D64,'کارکرد اداری'!$C$4:$C$204,'کارکرد اداری'!$N$4:$N$204,"0",0),_xlfn.XLOOKUP(C64,'کارکرد اداری'!$C$4:$C$204,'کارکرد اداری'!$N$4:$N$204,"0",0))</f>
        <v>0</v>
      </c>
      <c r="H64" s="98">
        <f>_xlfn.XLOOKUP(D64,'کارکرد اداری'!$C$4:$C$204,'کارکرد اداری'!$K$4:$K$204,0,1)</f>
        <v>0</v>
      </c>
      <c r="I64" s="98">
        <f>_xlfn.XLOOKUP(D64,'کارکرد اداری'!$C$4:$C$204,'کارکرد اداری'!$I$4:$I$204,0,1)</f>
        <v>0</v>
      </c>
      <c r="J64" s="164" t="e" cm="1">
        <f t="array" ref="J64">_xlfn.IFNA(INDEX('کارکرد اداری'!J:J,MATCH(C64,'کارکرد اداری'!B:B,0),0),INDEX('کارکرد اداری'!J:J,MATCH(D64,'کارکرد اداری'!C:C,0),0))</f>
        <v>#N/A</v>
      </c>
      <c r="K64" s="164" t="e" cm="1">
        <f t="array" ref="K64">_xlfn.IFNA(INDEX('کارکرد اداری'!R:R,MATCH(C64,'کارکرد اداری'!B:B,0),0),INDEX('کارکرد اداری'!R:R,MATCH(D64,'کارکرد اداری'!C:C,0),0))</f>
        <v>#N/A</v>
      </c>
      <c r="L64" s="164" t="e" cm="1">
        <f t="array" ref="L64">_xlfn.IFNA(INDEX('کارکرد اداری'!S:S,MATCH(C64,'کارکرد اداری'!B:B,0),0),INDEX('کارکرد اداری'!S:S,MATCH(D64,'کارکرد اداری'!C:C,0),0))</f>
        <v>#N/A</v>
      </c>
      <c r="M64" s="164" t="e" cm="1">
        <f t="array" ref="M64">_xlfn.IFNA(INDEX('کارکرد اداری'!P:P,MATCH(C64,'کارکرد اداری'!B:B,0),0),INDEX('کارکرد اداری'!P:P,MATCH(D64,'کارکرد اداری'!C:C,0),0))</f>
        <v>#N/A</v>
      </c>
      <c r="N64" s="164" t="e" cm="1">
        <f t="array" ref="N64">_xlfn.IFNA(INDEX('کارکرد اداری'!Q:Q,MATCH(C64,'کارکرد اداری'!B:B,0),0),INDEX('کارکرد اداری'!Q:Q,MATCH(D64,'کارکرد اداری'!C:C,0),0))</f>
        <v>#N/A</v>
      </c>
      <c r="O64" s="95" t="e">
        <f t="shared" si="18"/>
        <v>#N/A</v>
      </c>
      <c r="P64" s="96" t="e">
        <f t="shared" si="10"/>
        <v>#N/A</v>
      </c>
      <c r="Q64" s="97" cm="1">
        <f t="array" ref="Q64">_xlfn.IFNA(INDEX(نهایی!CW:CW,MATCH(D64,نهایی!B:B,0),0)/60,INDEX(نهایی!CW:CW,MATCH(C64,نهایی!B:B,0),0)/60)</f>
        <v>133.66666666666666</v>
      </c>
      <c r="R64" s="97" t="e">
        <f t="shared" si="11"/>
        <v>#N/A</v>
      </c>
      <c r="S64" s="161">
        <f>_xlfn.IFNA(INDEX(نهایی!CX:CX,MATCH(D64,نهایی!B:B,0)),INDEX(نهایی!CX:CX,MATCH(C64,نهایی!B:B,0)))</f>
        <v>131.31258612191675</v>
      </c>
      <c r="T64" s="96">
        <f t="shared" si="12"/>
        <v>2.3540805447499054</v>
      </c>
      <c r="U64" s="97" t="str">
        <f t="shared" si="13"/>
        <v/>
      </c>
      <c r="V64" s="96" t="e">
        <f t="shared" si="14"/>
        <v>#N/A</v>
      </c>
      <c r="W64" s="97" t="e">
        <f t="shared" si="15"/>
        <v>#N/A</v>
      </c>
      <c r="X64" s="96" t="e">
        <f t="shared" si="16"/>
        <v>#N/A</v>
      </c>
      <c r="Y64" s="94" t="e">
        <f t="shared" si="17"/>
        <v>#N/A</v>
      </c>
      <c r="Z64" s="27" t="e">
        <f>VLOOKUP(C64,نهایی!B:B,1,0)</f>
        <v>#N/A</v>
      </c>
      <c r="AA64" s="27">
        <f>VLOOKUP(D64,نهایی!B:B,1,0)</f>
        <v>14394</v>
      </c>
      <c r="AB64" s="173"/>
    </row>
    <row r="65" spans="1:28" s="71" customFormat="1" x14ac:dyDescent="0.25">
      <c r="A65" s="93"/>
      <c r="B65" s="93"/>
      <c r="C65" s="93">
        <f>_xlfn.XLOOKUP(D65,'کارکرد اداری'!$C$3:$C$106,'کارکرد اداری'!$B$3:$B$106,0,1)</f>
        <v>1131</v>
      </c>
      <c r="D65" s="100">
        <v>14904</v>
      </c>
      <c r="E65" s="93" t="s">
        <v>462</v>
      </c>
      <c r="F65" s="126"/>
      <c r="G65" s="98" t="str">
        <f>_xlfn.IFNA(_xlfn.XLOOKUP(D65,'کارکرد اداری'!$C$4:$C$204,'کارکرد اداری'!$N$4:$N$204,"0",0),_xlfn.XLOOKUP(C65,'کارکرد اداری'!$C$4:$C$204,'کارکرد اداری'!$N$4:$N$204,"0",0))</f>
        <v>0</v>
      </c>
      <c r="H65" s="98">
        <f>_xlfn.XLOOKUP(D65,'کارکرد اداری'!$C$4:$C$204,'کارکرد اداری'!$K$4:$K$204,0,1)</f>
        <v>0</v>
      </c>
      <c r="I65" s="98">
        <f>_xlfn.XLOOKUP(D65,'کارکرد اداری'!$C$4:$C$204,'کارکرد اداری'!$I$4:$I$204,0,1)</f>
        <v>0</v>
      </c>
      <c r="J65" s="164" t="e" cm="1">
        <f t="array" ref="J65">_xlfn.IFNA(INDEX('کارکرد اداری'!J:J,MATCH(C65,'کارکرد اداری'!B:B,0),0),INDEX('کارکرد اداری'!J:J,MATCH(D65,'کارکرد اداری'!C:C,0),0))</f>
        <v>#N/A</v>
      </c>
      <c r="K65" s="164" t="e" cm="1">
        <f t="array" ref="K65">_xlfn.IFNA(INDEX('کارکرد اداری'!R:R,MATCH(C65,'کارکرد اداری'!B:B,0),0),INDEX('کارکرد اداری'!R:R,MATCH(D65,'کارکرد اداری'!C:C,0),0))</f>
        <v>#N/A</v>
      </c>
      <c r="L65" s="164" t="e" cm="1">
        <f t="array" ref="L65">_xlfn.IFNA(INDEX('کارکرد اداری'!S:S,MATCH(C65,'کارکرد اداری'!B:B,0),0),INDEX('کارکرد اداری'!S:S,MATCH(D65,'کارکرد اداری'!C:C,0),0))</f>
        <v>#N/A</v>
      </c>
      <c r="M65" s="164" t="e" cm="1">
        <f t="array" ref="M65">_xlfn.IFNA(INDEX('کارکرد اداری'!P:P,MATCH(C65,'کارکرد اداری'!B:B,0),0),INDEX('کارکرد اداری'!P:P,MATCH(D65,'کارکرد اداری'!C:C,0),0))</f>
        <v>#N/A</v>
      </c>
      <c r="N65" s="164" t="e" cm="1">
        <f t="array" ref="N65">_xlfn.IFNA(INDEX('کارکرد اداری'!Q:Q,MATCH(C65,'کارکرد اداری'!B:B,0),0),INDEX('کارکرد اداری'!Q:Q,MATCH(D65,'کارکرد اداری'!C:C,0),0))</f>
        <v>#N/A</v>
      </c>
      <c r="O65" s="95" t="e">
        <f t="shared" si="18"/>
        <v>#N/A</v>
      </c>
      <c r="P65" s="96" t="e">
        <f t="shared" si="10"/>
        <v>#N/A</v>
      </c>
      <c r="Q65" s="97" cm="1">
        <f t="array" ref="Q65">_xlfn.IFNA(INDEX(نهایی!CW:CW,MATCH(D65,نهایی!B:B,0),0)/60,INDEX(نهایی!CW:CW,MATCH(C65,نهایی!B:B,0),0)/60)</f>
        <v>123.33333333333333</v>
      </c>
      <c r="R65" s="97" t="e">
        <f t="shared" si="11"/>
        <v>#N/A</v>
      </c>
      <c r="S65" s="161">
        <f>_xlfn.IFNA(INDEX(نهایی!CX:CX,MATCH(D65,نهایی!B:B,0)),INDEX(نهایی!CX:CX,MATCH(C65,نهایی!B:B,0)))</f>
        <v>114.33218120131878</v>
      </c>
      <c r="T65" s="96">
        <f t="shared" si="12"/>
        <v>9.0011521320145533</v>
      </c>
      <c r="U65" s="97" t="str">
        <f t="shared" si="13"/>
        <v/>
      </c>
      <c r="V65" s="96" t="e">
        <f t="shared" si="14"/>
        <v>#N/A</v>
      </c>
      <c r="W65" s="97" t="e">
        <f t="shared" si="15"/>
        <v>#N/A</v>
      </c>
      <c r="X65" s="96" t="e">
        <f t="shared" si="16"/>
        <v>#N/A</v>
      </c>
      <c r="Y65" s="94" t="e">
        <f t="shared" si="17"/>
        <v>#N/A</v>
      </c>
      <c r="Z65" s="27">
        <f>VLOOKUP(C65,نهایی!B:B,1,0)</f>
        <v>1131</v>
      </c>
      <c r="AA65" s="27" t="e">
        <f>VLOOKUP(D65,نهایی!B:B,1,0)</f>
        <v>#N/A</v>
      </c>
      <c r="AB65" s="173"/>
    </row>
    <row r="66" spans="1:28" s="71" customFormat="1" x14ac:dyDescent="0.25">
      <c r="A66" s="93"/>
      <c r="B66" s="93"/>
      <c r="C66" s="93">
        <f>_xlfn.XLOOKUP(D66,'کارکرد اداری'!$C$3:$C$106,'کارکرد اداری'!$B$3:$B$106,0,1)</f>
        <v>1130</v>
      </c>
      <c r="D66" s="100">
        <v>14901</v>
      </c>
      <c r="E66" s="93" t="s">
        <v>461</v>
      </c>
      <c r="F66" s="126"/>
      <c r="G66" s="98" t="str">
        <f>_xlfn.IFNA(_xlfn.XLOOKUP(D66,'کارکرد اداری'!$C$4:$C$204,'کارکرد اداری'!$N$4:$N$204,"0",0),_xlfn.XLOOKUP(C66,'کارکرد اداری'!$C$4:$C$204,'کارکرد اداری'!$N$4:$N$204,"0",0))</f>
        <v>0</v>
      </c>
      <c r="H66" s="98">
        <f>_xlfn.XLOOKUP(D66,'کارکرد اداری'!$C$4:$C$204,'کارکرد اداری'!$K$4:$K$204,0,1)</f>
        <v>0</v>
      </c>
      <c r="I66" s="98">
        <f>_xlfn.XLOOKUP(D66,'کارکرد اداری'!$C$4:$C$204,'کارکرد اداری'!$I$4:$I$204,0,1)</f>
        <v>0</v>
      </c>
      <c r="J66" s="164" t="e" cm="1">
        <f t="array" ref="J66">_xlfn.IFNA(INDEX('کارکرد اداری'!J:J,MATCH(C66,'کارکرد اداری'!B:B,0),0),INDEX('کارکرد اداری'!J:J,MATCH(D66,'کارکرد اداری'!C:C,0),0))</f>
        <v>#N/A</v>
      </c>
      <c r="K66" s="164" t="e" cm="1">
        <f t="array" ref="K66">_xlfn.IFNA(INDEX('کارکرد اداری'!R:R,MATCH(C66,'کارکرد اداری'!B:B,0),0),INDEX('کارکرد اداری'!R:R,MATCH(D66,'کارکرد اداری'!C:C,0),0))</f>
        <v>#N/A</v>
      </c>
      <c r="L66" s="164" t="e" cm="1">
        <f t="array" ref="L66">_xlfn.IFNA(INDEX('کارکرد اداری'!S:S,MATCH(C66,'کارکرد اداری'!B:B,0),0),INDEX('کارکرد اداری'!S:S,MATCH(D66,'کارکرد اداری'!C:C,0),0))</f>
        <v>#N/A</v>
      </c>
      <c r="M66" s="164" t="e" cm="1">
        <f t="array" ref="M66">_xlfn.IFNA(INDEX('کارکرد اداری'!P:P,MATCH(C66,'کارکرد اداری'!B:B,0),0),INDEX('کارکرد اداری'!P:P,MATCH(D66,'کارکرد اداری'!C:C,0),0))</f>
        <v>#N/A</v>
      </c>
      <c r="N66" s="164" t="e" cm="1">
        <f t="array" ref="N66">_xlfn.IFNA(INDEX('کارکرد اداری'!Q:Q,MATCH(C66,'کارکرد اداری'!B:B,0),0),INDEX('کارکرد اداری'!Q:Q,MATCH(D66,'کارکرد اداری'!C:C,0),0))</f>
        <v>#N/A</v>
      </c>
      <c r="O66" s="95" t="e">
        <f t="shared" si="18"/>
        <v>#N/A</v>
      </c>
      <c r="P66" s="96" t="e">
        <f t="shared" si="10"/>
        <v>#N/A</v>
      </c>
      <c r="Q66" s="97" cm="1">
        <f t="array" ref="Q66">_xlfn.IFNA(INDEX(نهایی!CW:CW,MATCH(D66,نهایی!B:B,0),0)/60,INDEX(نهایی!CW:CW,MATCH(C66,نهایی!B:B,0),0)/60)</f>
        <v>118.83333333333333</v>
      </c>
      <c r="R66" s="97" t="e">
        <f t="shared" si="11"/>
        <v>#N/A</v>
      </c>
      <c r="S66" s="161">
        <f>_xlfn.IFNA(INDEX(نهایی!CX:CX,MATCH(D66,نهایی!B:B,0)),INDEX(نهایی!CX:CX,MATCH(C66,نهایی!B:B,0)))</f>
        <v>113.54376212205349</v>
      </c>
      <c r="T66" s="96">
        <f t="shared" si="12"/>
        <v>5.289571211279835</v>
      </c>
      <c r="U66" s="97" t="str">
        <f t="shared" si="13"/>
        <v/>
      </c>
      <c r="V66" s="96" t="e">
        <f t="shared" si="14"/>
        <v>#N/A</v>
      </c>
      <c r="W66" s="97" t="e">
        <f t="shared" si="15"/>
        <v>#N/A</v>
      </c>
      <c r="X66" s="96" t="e">
        <f t="shared" si="16"/>
        <v>#N/A</v>
      </c>
      <c r="Y66" s="94" t="e">
        <f t="shared" si="17"/>
        <v>#N/A</v>
      </c>
      <c r="Z66" s="27">
        <f>VLOOKUP(C66,نهایی!B:B,1,0)</f>
        <v>1130</v>
      </c>
      <c r="AA66" s="27" t="e">
        <f>VLOOKUP(D66,نهایی!B:B,1,0)</f>
        <v>#N/A</v>
      </c>
      <c r="AB66" s="173"/>
    </row>
    <row r="67" spans="1:28" s="71" customFormat="1" x14ac:dyDescent="0.25">
      <c r="A67" s="127"/>
      <c r="B67" s="127"/>
      <c r="C67" s="93">
        <f>_xlfn.XLOOKUP(D67,'کارکرد اداری'!$C$3:$C$106,'کارکرد اداری'!$B$3:$B$106,0,1)</f>
        <v>1054</v>
      </c>
      <c r="D67" s="130">
        <v>14856</v>
      </c>
      <c r="E67" s="127" t="s">
        <v>404</v>
      </c>
      <c r="F67" s="127"/>
      <c r="G67" s="98" t="str">
        <f>_xlfn.IFNA(_xlfn.XLOOKUP(D67,'کارکرد اداری'!$C$4:$C$204,'کارکرد اداری'!$N$4:$N$204,"0",0),_xlfn.XLOOKUP(C67,'کارکرد اداری'!$C$4:$C$204,'کارکرد اداری'!$N$4:$N$204,"0",0))</f>
        <v>0</v>
      </c>
      <c r="H67" s="98">
        <f>_xlfn.XLOOKUP(D67,'کارکرد اداری'!$C$4:$C$204,'کارکرد اداری'!$K$4:$K$204,0,1)</f>
        <v>0</v>
      </c>
      <c r="I67" s="98">
        <f>_xlfn.XLOOKUP(D67,'کارکرد اداری'!$C$4:$C$204,'کارکرد اداری'!$I$4:$I$204,0,1)</f>
        <v>0</v>
      </c>
      <c r="J67" s="164" t="e" cm="1">
        <f t="array" ref="J67">_xlfn.IFNA(INDEX('کارکرد اداری'!J:J,MATCH(C67,'کارکرد اداری'!B:B,0),0),INDEX('کارکرد اداری'!J:J,MATCH(D67,'کارکرد اداری'!C:C,0),0))</f>
        <v>#N/A</v>
      </c>
      <c r="K67" s="164" t="e" cm="1">
        <f t="array" ref="K67">_xlfn.IFNA(INDEX('کارکرد اداری'!R:R,MATCH(C67,'کارکرد اداری'!B:B,0),0),INDEX('کارکرد اداری'!R:R,MATCH(D67,'کارکرد اداری'!C:C,0),0))</f>
        <v>#N/A</v>
      </c>
      <c r="L67" s="164" t="e" cm="1">
        <f t="array" ref="L67">_xlfn.IFNA(INDEX('کارکرد اداری'!S:S,MATCH(C67,'کارکرد اداری'!B:B,0),0),INDEX('کارکرد اداری'!S:S,MATCH(D67,'کارکرد اداری'!C:C,0),0))</f>
        <v>#N/A</v>
      </c>
      <c r="M67" s="164" t="e" cm="1">
        <f t="array" ref="M67">_xlfn.IFNA(INDEX('کارکرد اداری'!P:P,MATCH(C67,'کارکرد اداری'!B:B,0),0),INDEX('کارکرد اداری'!P:P,MATCH(D67,'کارکرد اداری'!C:C,0),0))</f>
        <v>#N/A</v>
      </c>
      <c r="N67" s="164" t="e" cm="1">
        <f t="array" ref="N67">_xlfn.IFNA(INDEX('کارکرد اداری'!Q:Q,MATCH(C67,'کارکرد اداری'!B:B,0),0),INDEX('کارکرد اداری'!Q:Q,MATCH(D67,'کارکرد اداری'!C:C,0),0))</f>
        <v>#N/A</v>
      </c>
      <c r="O67" s="95" t="e">
        <f t="shared" si="18"/>
        <v>#N/A</v>
      </c>
      <c r="P67" s="96" t="e">
        <f t="shared" ref="P67:P94" si="19">((O67*440+M67*60+N67)-(K67*60-L67))/60</f>
        <v>#N/A</v>
      </c>
      <c r="Q67" s="97" cm="1">
        <f t="array" ref="Q67">_xlfn.IFNA(INDEX(نهایی!CW:CW,MATCH(D67,نهایی!B:B,0),0)/60,INDEX(نهایی!CW:CW,MATCH(C67,نهایی!B:B,0),0)/60)</f>
        <v>122.83333333333333</v>
      </c>
      <c r="R67" s="97" t="e">
        <f t="shared" ref="R67:R92" si="20">Q67-P67</f>
        <v>#N/A</v>
      </c>
      <c r="S67" s="161">
        <f>_xlfn.IFNA(INDEX(نهایی!CX:CX,MATCH(D67,نهایی!B:B,0)),INDEX(نهایی!CX:CX,MATCH(C67,نهایی!B:B,0)))</f>
        <v>110.36774868656759</v>
      </c>
      <c r="T67" s="96">
        <f t="shared" ref="T67:T92" si="21">IF(S67&gt;Q67,"",Q67-S67)</f>
        <v>12.465584646765734</v>
      </c>
      <c r="U67" s="97" t="str">
        <f t="shared" ref="U67:U92" si="22">IF(Q67&gt;S67,"",S67-Q67)</f>
        <v/>
      </c>
      <c r="V67" s="96" t="e">
        <f t="shared" ref="V67:V92" si="23">IF(P67&gt;S67,P67-S67,"")</f>
        <v>#N/A</v>
      </c>
      <c r="W67" s="97" t="e">
        <f t="shared" ref="W67:W92" si="24">IF(P67&lt;S67,S67-P67,"")</f>
        <v>#N/A</v>
      </c>
      <c r="X67" s="96" t="e">
        <f t="shared" ref="X67:X92" si="25">ROUNDDOWN(IF((0.95-S67/P67)&gt;0,(0.95-S67/P67),0)*Q67,0)</f>
        <v>#N/A</v>
      </c>
      <c r="Y67" s="94" t="e">
        <f t="shared" ref="Y67:Y92" si="26">ROUNDUP((IF(((S67/P67)-0.97)&gt;0,((S67/P67)-0.97),0)*Q67)/1,0)</f>
        <v>#N/A</v>
      </c>
      <c r="Z67" s="27">
        <f>VLOOKUP(C67,نهایی!B:B,1,0)</f>
        <v>1054</v>
      </c>
      <c r="AA67" s="27" t="e">
        <f>VLOOKUP(D67,نهایی!B:B,1,0)</f>
        <v>#N/A</v>
      </c>
      <c r="AB67" s="173"/>
    </row>
    <row r="68" spans="1:28" s="71" customFormat="1" x14ac:dyDescent="0.25">
      <c r="A68" s="93" t="s">
        <v>413</v>
      </c>
      <c r="B68" s="93"/>
      <c r="C68" s="93">
        <v>1187</v>
      </c>
      <c r="D68" s="100">
        <v>1187</v>
      </c>
      <c r="E68" s="93" t="s">
        <v>544</v>
      </c>
      <c r="F68" s="93"/>
      <c r="G68" s="98" t="e">
        <f>_xlfn.IFNA(_xlfn.XLOOKUP(D68,'کارکرد اداری'!$C$4:$C$204,'کارکرد اداری'!$N$4:$N$204,"0",0),_xlfn.XLOOKUP(C68,'کارکرد اداری'!$C$4:$C$204,'کارکرد اداری'!$N$4:$N$204,"0",0))</f>
        <v>#N/A</v>
      </c>
      <c r="H68" s="98">
        <f>_xlfn.XLOOKUP(D68,'کارکرد اداری'!$C$4:$C$204,'کارکرد اداری'!$K$4:$K$204,0,1)</f>
        <v>0</v>
      </c>
      <c r="I68" s="98">
        <f>_xlfn.XLOOKUP(D68,'کارکرد اداری'!$C$4:$C$204,'کارکرد اداری'!$I$4:$I$204,0,1)</f>
        <v>0</v>
      </c>
      <c r="J68" s="164" t="e" cm="1">
        <f t="array" ref="J68">_xlfn.IFNA(INDEX('کارکرد اداری'!J:J,MATCH(C68,'کارکرد اداری'!B:B,0),0),INDEX('کارکرد اداری'!J:J,MATCH(D68,'کارکرد اداری'!C:C,0),0))</f>
        <v>#N/A</v>
      </c>
      <c r="K68" s="164" t="e" cm="1">
        <f t="array" ref="K68">_xlfn.IFNA(INDEX('کارکرد اداری'!R:R,MATCH(C68,'کارکرد اداری'!B:B,0),0),INDEX('کارکرد اداری'!R:R,MATCH(D68,'کارکرد اداری'!C:C,0),0))</f>
        <v>#N/A</v>
      </c>
      <c r="L68" s="164" t="e" cm="1">
        <f t="array" ref="L68">_xlfn.IFNA(INDEX('کارکرد اداری'!S:S,MATCH(C68,'کارکرد اداری'!B:B,0),0),INDEX('کارکرد اداری'!S:S,MATCH(D68,'کارکرد اداری'!C:C,0),0))</f>
        <v>#N/A</v>
      </c>
      <c r="M68" s="164" t="e" cm="1">
        <f t="array" ref="M68">_xlfn.IFNA(INDEX('کارکرد اداری'!P:P,MATCH(C68,'کارکرد اداری'!B:B,0),0),INDEX('کارکرد اداری'!P:P,MATCH(D68,'کارکرد اداری'!C:C,0),0))</f>
        <v>#N/A</v>
      </c>
      <c r="N68" s="164" t="e" cm="1">
        <f t="array" ref="N68">_xlfn.IFNA(INDEX('کارکرد اداری'!Q:Q,MATCH(C68,'کارکرد اداری'!B:B,0),0),INDEX('کارکرد اداری'!Q:Q,MATCH(D68,'کارکرد اداری'!C:C,0),0))</f>
        <v>#N/A</v>
      </c>
      <c r="O68" s="100" t="e">
        <f t="shared" si="18"/>
        <v>#N/A</v>
      </c>
      <c r="P68" s="96" t="e">
        <f t="shared" si="19"/>
        <v>#N/A</v>
      </c>
      <c r="Q68" s="97" cm="1">
        <f t="array" ref="Q68">_xlfn.IFNA(INDEX(نهایی!CW:CW,MATCH(D68,نهایی!B:B,0),0)/60,INDEX(نهایی!CW:CW,MATCH(C68,نهایی!B:B,0),0)/60)</f>
        <v>145.83333333333334</v>
      </c>
      <c r="R68" s="97" t="e">
        <f t="shared" si="20"/>
        <v>#N/A</v>
      </c>
      <c r="S68" s="161">
        <f>_xlfn.IFNA(INDEX(نهایی!CX:CX,MATCH(D68,نهایی!B:B,0)),INDEX(نهایی!CX:CX,MATCH(C68,نهایی!B:B,0)))</f>
        <v>135.66396361606778</v>
      </c>
      <c r="T68" s="96">
        <f t="shared" si="21"/>
        <v>10.169369717265567</v>
      </c>
      <c r="U68" s="97" t="str">
        <f t="shared" si="22"/>
        <v/>
      </c>
      <c r="V68" s="96" t="e">
        <f t="shared" si="23"/>
        <v>#N/A</v>
      </c>
      <c r="W68" s="97" t="e">
        <f t="shared" si="24"/>
        <v>#N/A</v>
      </c>
      <c r="X68" s="96" t="e">
        <f t="shared" si="25"/>
        <v>#N/A</v>
      </c>
      <c r="Y68" s="94" t="e">
        <f t="shared" si="26"/>
        <v>#N/A</v>
      </c>
      <c r="Z68" s="27">
        <f>VLOOKUP(C68,نهایی!B:B,1,0)</f>
        <v>1187</v>
      </c>
      <c r="AA68" s="27">
        <f>VLOOKUP(D68,نهایی!B:B,1,0)</f>
        <v>1187</v>
      </c>
      <c r="AB68" s="173"/>
    </row>
    <row r="69" spans="1:28" s="62" customFormat="1" x14ac:dyDescent="0.25">
      <c r="A69" s="93"/>
      <c r="B69" s="93"/>
      <c r="C69" s="93">
        <f>_xlfn.XLOOKUP(D69,'کارکرد اداری'!$C$3:$C$106,'کارکرد اداری'!$B$3:$B$106,0,1)</f>
        <v>1129</v>
      </c>
      <c r="D69" s="100">
        <v>14902</v>
      </c>
      <c r="E69" s="93" t="s">
        <v>460</v>
      </c>
      <c r="F69" s="126"/>
      <c r="G69" s="98" t="str">
        <f>_xlfn.IFNA(_xlfn.XLOOKUP(D69,'کارکرد اداری'!$C$4:$C$204,'کارکرد اداری'!$N$4:$N$204,"0",0),_xlfn.XLOOKUP(C69,'کارکرد اداری'!$C$4:$C$204,'کارکرد اداری'!$N$4:$N$204,"0",0))</f>
        <v>0</v>
      </c>
      <c r="H69" s="98">
        <f>_xlfn.XLOOKUP(D69,'کارکرد اداری'!$C$4:$C$204,'کارکرد اداری'!$K$4:$K$204,0,1)</f>
        <v>0</v>
      </c>
      <c r="I69" s="98">
        <f>_xlfn.XLOOKUP(D69,'کارکرد اداری'!$C$4:$C$204,'کارکرد اداری'!$I$4:$I$204,0,1)</f>
        <v>0</v>
      </c>
      <c r="J69" s="164" t="e" cm="1">
        <f t="array" ref="J69">_xlfn.IFNA(INDEX('کارکرد اداری'!J:J,MATCH(C69,'کارکرد اداری'!B:B,0),0),INDEX('کارکرد اداری'!J:J,MATCH(D69,'کارکرد اداری'!C:C,0),0))</f>
        <v>#N/A</v>
      </c>
      <c r="K69" s="164" t="e" cm="1">
        <f t="array" ref="K69">_xlfn.IFNA(INDEX('کارکرد اداری'!R:R,MATCH(C69,'کارکرد اداری'!B:B,0),0),INDEX('کارکرد اداری'!R:R,MATCH(D69,'کارکرد اداری'!C:C,0),0))</f>
        <v>#N/A</v>
      </c>
      <c r="L69" s="164" t="e" cm="1">
        <f t="array" ref="L69">_xlfn.IFNA(INDEX('کارکرد اداری'!S:S,MATCH(C69,'کارکرد اداری'!B:B,0),0),INDEX('کارکرد اداری'!S:S,MATCH(D69,'کارکرد اداری'!C:C,0),0))</f>
        <v>#N/A</v>
      </c>
      <c r="M69" s="164" t="e" cm="1">
        <f t="array" ref="M69">_xlfn.IFNA(INDEX('کارکرد اداری'!P:P,MATCH(C69,'کارکرد اداری'!B:B,0),0),INDEX('کارکرد اداری'!P:P,MATCH(D69,'کارکرد اداری'!C:C,0),0))</f>
        <v>#N/A</v>
      </c>
      <c r="N69" s="164" t="e" cm="1">
        <f t="array" ref="N69">_xlfn.IFNA(INDEX('کارکرد اداری'!Q:Q,MATCH(C69,'کارکرد اداری'!B:B,0),0),INDEX('کارکرد اداری'!Q:Q,MATCH(D69,'کارکرد اداری'!C:C,0),0))</f>
        <v>#N/A</v>
      </c>
      <c r="O69" s="95" t="e">
        <f t="shared" si="18"/>
        <v>#N/A</v>
      </c>
      <c r="P69" s="96" t="e">
        <f t="shared" si="19"/>
        <v>#N/A</v>
      </c>
      <c r="Q69" s="97" cm="1">
        <f t="array" ref="Q69">_xlfn.IFNA(INDEX(نهایی!CW:CW,MATCH(D69,نهایی!B:B,0),0)/60,INDEX(نهایی!CW:CW,MATCH(C69,نهایی!B:B,0),0)/60)</f>
        <v>147.33333333333334</v>
      </c>
      <c r="R69" s="97" t="e">
        <f t="shared" si="20"/>
        <v>#N/A</v>
      </c>
      <c r="S69" s="161">
        <f>_xlfn.IFNA(INDEX(نهایی!CX:CX,MATCH(D69,نهایی!B:B,0)),INDEX(نهایی!CX:CX,MATCH(C69,نهایی!B:B,0)))</f>
        <v>132.99189001160366</v>
      </c>
      <c r="T69" s="96">
        <f t="shared" si="21"/>
        <v>14.341443321729685</v>
      </c>
      <c r="U69" s="97" t="str">
        <f t="shared" si="22"/>
        <v/>
      </c>
      <c r="V69" s="96" t="e">
        <f t="shared" si="23"/>
        <v>#N/A</v>
      </c>
      <c r="W69" s="97" t="e">
        <f t="shared" si="24"/>
        <v>#N/A</v>
      </c>
      <c r="X69" s="96" t="e">
        <f t="shared" si="25"/>
        <v>#N/A</v>
      </c>
      <c r="Y69" s="94" t="e">
        <f t="shared" si="26"/>
        <v>#N/A</v>
      </c>
      <c r="Z69" s="27">
        <f>VLOOKUP(C69,نهایی!B:B,1,0)</f>
        <v>1129</v>
      </c>
      <c r="AA69" s="27" t="e">
        <f>VLOOKUP(D69,نهایی!B:B,1,0)</f>
        <v>#N/A</v>
      </c>
      <c r="AB69" s="171"/>
    </row>
    <row r="70" spans="1:28" s="62" customFormat="1" x14ac:dyDescent="0.25">
      <c r="A70" s="93"/>
      <c r="B70" s="93"/>
      <c r="C70" s="93">
        <f>_xlfn.XLOOKUP(D70,'کارکرد اداری'!$C$3:$C$106,'کارکرد اداری'!$B$3:$B$106,0,1)</f>
        <v>525</v>
      </c>
      <c r="D70" s="100">
        <v>14478</v>
      </c>
      <c r="E70" s="93" t="s">
        <v>347</v>
      </c>
      <c r="F70" s="93"/>
      <c r="G70" s="98" t="str">
        <f>_xlfn.IFNA(_xlfn.XLOOKUP(D70,'کارکرد اداری'!$C$4:$C$204,'کارکرد اداری'!$N$4:$N$204,"0",0),_xlfn.XLOOKUP(C70,'کارکرد اداری'!$C$4:$C$204,'کارکرد اداری'!$N$4:$N$204,"0",0))</f>
        <v>0</v>
      </c>
      <c r="H70" s="98">
        <f>_xlfn.XLOOKUP(D70,'کارکرد اداری'!$C$4:$C$204,'کارکرد اداری'!$K$4:$K$204,0,1)</f>
        <v>0</v>
      </c>
      <c r="I70" s="98">
        <f>_xlfn.XLOOKUP(D70,'کارکرد اداری'!$C$4:$C$204,'کارکرد اداری'!$I$4:$I$204,0,1)</f>
        <v>0</v>
      </c>
      <c r="J70" s="164" t="e" cm="1">
        <f t="array" ref="J70">_xlfn.IFNA(INDEX('کارکرد اداری'!J:J,MATCH(C70,'کارکرد اداری'!B:B,0),0),INDEX('کارکرد اداری'!J:J,MATCH(D70,'کارکرد اداری'!C:C,0),0))</f>
        <v>#N/A</v>
      </c>
      <c r="K70" s="164" t="e" cm="1">
        <f t="array" ref="K70">_xlfn.IFNA(INDEX('کارکرد اداری'!R:R,MATCH(C70,'کارکرد اداری'!B:B,0),0),INDEX('کارکرد اداری'!R:R,MATCH(D70,'کارکرد اداری'!C:C,0),0))</f>
        <v>#N/A</v>
      </c>
      <c r="L70" s="164" t="e" cm="1">
        <f t="array" ref="L70">_xlfn.IFNA(INDEX('کارکرد اداری'!S:S,MATCH(C70,'کارکرد اداری'!B:B,0),0),INDEX('کارکرد اداری'!S:S,MATCH(D70,'کارکرد اداری'!C:C,0),0))</f>
        <v>#N/A</v>
      </c>
      <c r="M70" s="164" t="e" cm="1">
        <f t="array" ref="M70">_xlfn.IFNA(INDEX('کارکرد اداری'!P:P,MATCH(C70,'کارکرد اداری'!B:B,0),0),INDEX('کارکرد اداری'!P:P,MATCH(D70,'کارکرد اداری'!C:C,0),0))</f>
        <v>#N/A</v>
      </c>
      <c r="N70" s="164" t="e" cm="1">
        <f t="array" ref="N70">_xlfn.IFNA(INDEX('کارکرد اداری'!Q:Q,MATCH(C70,'کارکرد اداری'!B:B,0),0),INDEX('کارکرد اداری'!Q:Q,MATCH(D70,'کارکرد اداری'!C:C,0),0))</f>
        <v>#N/A</v>
      </c>
      <c r="O70" s="95" t="e">
        <f t="shared" si="18"/>
        <v>#N/A</v>
      </c>
      <c r="P70" s="96" t="e">
        <f t="shared" si="19"/>
        <v>#N/A</v>
      </c>
      <c r="Q70" s="97" cm="1">
        <f t="array" ref="Q70">_xlfn.IFNA(INDEX(نهایی!CW:CW,MATCH(D70,نهایی!B:B,0),0)/60,INDEX(نهایی!CW:CW,MATCH(C70,نهایی!B:B,0),0)/60)</f>
        <v>130.83333333333334</v>
      </c>
      <c r="R70" s="97" t="e">
        <f t="shared" si="20"/>
        <v>#N/A</v>
      </c>
      <c r="S70" s="161">
        <f>_xlfn.IFNA(INDEX(نهایی!CX:CX,MATCH(D70,نهایی!B:B,0)),INDEX(نهایی!CX:CX,MATCH(C70,نهایی!B:B,0)))</f>
        <v>122.55573009247533</v>
      </c>
      <c r="T70" s="96">
        <f t="shared" si="21"/>
        <v>8.2776032408580136</v>
      </c>
      <c r="U70" s="97" t="str">
        <f t="shared" si="22"/>
        <v/>
      </c>
      <c r="V70" s="96" t="e">
        <f t="shared" si="23"/>
        <v>#N/A</v>
      </c>
      <c r="W70" s="97" t="e">
        <f t="shared" si="24"/>
        <v>#N/A</v>
      </c>
      <c r="X70" s="96" t="e">
        <f t="shared" si="25"/>
        <v>#N/A</v>
      </c>
      <c r="Y70" s="94" t="e">
        <f t="shared" si="26"/>
        <v>#N/A</v>
      </c>
      <c r="Z70" s="27" t="e">
        <f>VLOOKUP(C70,نهایی!B:B,1,0)</f>
        <v>#N/A</v>
      </c>
      <c r="AA70" s="27">
        <f>VLOOKUP(D70,نهایی!B:B,1,0)</f>
        <v>14478</v>
      </c>
      <c r="AB70" s="171"/>
    </row>
    <row r="71" spans="1:28" s="62" customFormat="1" x14ac:dyDescent="0.25">
      <c r="A71" s="93" t="s">
        <v>413</v>
      </c>
      <c r="B71" s="93"/>
      <c r="C71" s="93">
        <f>_xlfn.XLOOKUP(D71,'کارکرد اداری'!$C$3:$C$106,'کارکرد اداری'!$B$3:$B$106,0,1)</f>
        <v>1156</v>
      </c>
      <c r="D71" s="98">
        <v>14927</v>
      </c>
      <c r="E71" s="93" t="s">
        <v>483</v>
      </c>
      <c r="F71" s="93"/>
      <c r="G71" s="98" t="str">
        <f>_xlfn.IFNA(_xlfn.XLOOKUP(D71,'کارکرد اداری'!$C$4:$C$204,'کارکرد اداری'!$N$4:$N$204,"0",0),_xlfn.XLOOKUP(C71,'کارکرد اداری'!$C$4:$C$204,'کارکرد اداری'!$N$4:$N$204,"0",0))</f>
        <v>0</v>
      </c>
      <c r="H71" s="98">
        <f>_xlfn.XLOOKUP(D71,'کارکرد اداری'!$C$4:$C$204,'کارکرد اداری'!$K$4:$K$204,0,1)</f>
        <v>0</v>
      </c>
      <c r="I71" s="98">
        <f>_xlfn.XLOOKUP(D71,'کارکرد اداری'!$C$4:$C$204,'کارکرد اداری'!$I$4:$I$204,0,1)</f>
        <v>0</v>
      </c>
      <c r="J71" s="164" t="e" cm="1">
        <f t="array" ref="J71">_xlfn.IFNA(INDEX('کارکرد اداری'!J:J,MATCH(C71,'کارکرد اداری'!B:B,0),0),INDEX('کارکرد اداری'!J:J,MATCH(D71,'کارکرد اداری'!C:C,0),0))</f>
        <v>#N/A</v>
      </c>
      <c r="K71" s="164" t="e" cm="1">
        <f t="array" ref="K71">_xlfn.IFNA(INDEX('کارکرد اداری'!R:R,MATCH(C71,'کارکرد اداری'!B:B,0),0),INDEX('کارکرد اداری'!R:R,MATCH(D71,'کارکرد اداری'!C:C,0),0))</f>
        <v>#N/A</v>
      </c>
      <c r="L71" s="164" t="e" cm="1">
        <f t="array" ref="L71">_xlfn.IFNA(INDEX('کارکرد اداری'!S:S,MATCH(C71,'کارکرد اداری'!B:B,0),0),INDEX('کارکرد اداری'!S:S,MATCH(D71,'کارکرد اداری'!C:C,0),0))</f>
        <v>#N/A</v>
      </c>
      <c r="M71" s="164" t="e" cm="1">
        <f t="array" ref="M71">_xlfn.IFNA(INDEX('کارکرد اداری'!P:P,MATCH(C71,'کارکرد اداری'!B:B,0),0),INDEX('کارکرد اداری'!P:P,MATCH(D71,'کارکرد اداری'!C:C,0),0))</f>
        <v>#N/A</v>
      </c>
      <c r="N71" s="164" t="e" cm="1">
        <f t="array" ref="N71">_xlfn.IFNA(INDEX('کارکرد اداری'!Q:Q,MATCH(C71,'کارکرد اداری'!B:B,0),0),INDEX('کارکرد اداری'!Q:Q,MATCH(D71,'کارکرد اداری'!C:C,0),0))</f>
        <v>#N/A</v>
      </c>
      <c r="O71" s="95" t="e">
        <f t="shared" si="18"/>
        <v>#N/A</v>
      </c>
      <c r="P71" s="96" t="e">
        <f t="shared" si="19"/>
        <v>#N/A</v>
      </c>
      <c r="Q71" s="97" cm="1">
        <f t="array" ref="Q71">_xlfn.IFNA(INDEX(نهایی!CW:CW,MATCH(D71,نهایی!B:B,0),0)/60,INDEX(نهایی!CW:CW,MATCH(C71,نهایی!B:B,0),0)/60)</f>
        <v>142.66666666666666</v>
      </c>
      <c r="R71" s="97" t="e">
        <f t="shared" si="20"/>
        <v>#N/A</v>
      </c>
      <c r="S71" s="161">
        <f>_xlfn.IFNA(INDEX(نهایی!CX:CX,MATCH(D71,نهایی!B:B,0)),INDEX(نهایی!CX:CX,MATCH(C71,نهایی!B:B,0)))</f>
        <v>123.70742055784295</v>
      </c>
      <c r="T71" s="96">
        <f t="shared" si="21"/>
        <v>18.959246108823706</v>
      </c>
      <c r="U71" s="97" t="str">
        <f t="shared" si="22"/>
        <v/>
      </c>
      <c r="V71" s="96" t="e">
        <f t="shared" si="23"/>
        <v>#N/A</v>
      </c>
      <c r="W71" s="97" t="e">
        <f t="shared" si="24"/>
        <v>#N/A</v>
      </c>
      <c r="X71" s="96" t="e">
        <f t="shared" si="25"/>
        <v>#N/A</v>
      </c>
      <c r="Y71" s="94" t="e">
        <f t="shared" si="26"/>
        <v>#N/A</v>
      </c>
      <c r="Z71" s="27">
        <f>VLOOKUP(C71,نهایی!B:B,1,0)</f>
        <v>1156</v>
      </c>
      <c r="AA71" s="27" t="e">
        <f>VLOOKUP(D71,نهایی!B:B,1,0)</f>
        <v>#N/A</v>
      </c>
      <c r="AB71" s="171"/>
    </row>
    <row r="72" spans="1:28" s="62" customFormat="1" x14ac:dyDescent="0.25">
      <c r="A72" s="93"/>
      <c r="B72" s="93"/>
      <c r="C72" s="93">
        <f>_xlfn.XLOOKUP(D72,'کارکرد اداری'!$C$3:$C$106,'کارکرد اداری'!$B$3:$B$106,0,1)</f>
        <v>1137</v>
      </c>
      <c r="D72" s="100">
        <v>14906</v>
      </c>
      <c r="E72" s="93" t="s">
        <v>464</v>
      </c>
      <c r="F72" s="127"/>
      <c r="G72" s="98" t="str">
        <f>_xlfn.IFNA(_xlfn.XLOOKUP(D72,'کارکرد اداری'!$C$4:$C$204,'کارکرد اداری'!$N$4:$N$204,"0",0),_xlfn.XLOOKUP(C72,'کارکرد اداری'!$C$4:$C$204,'کارکرد اداری'!$N$4:$N$204,"0",0))</f>
        <v>0</v>
      </c>
      <c r="H72" s="98">
        <f>_xlfn.XLOOKUP(D72,'کارکرد اداری'!$C$4:$C$204,'کارکرد اداری'!$K$4:$K$204,0,1)</f>
        <v>0</v>
      </c>
      <c r="I72" s="98">
        <f>_xlfn.XLOOKUP(D72,'کارکرد اداری'!$C$4:$C$204,'کارکرد اداری'!$I$4:$I$204,0,1)</f>
        <v>0</v>
      </c>
      <c r="J72" s="164" t="e" cm="1">
        <f t="array" ref="J72">_xlfn.IFNA(INDEX('کارکرد اداری'!J:J,MATCH(C72,'کارکرد اداری'!B:B,0),0),INDEX('کارکرد اداری'!J:J,MATCH(D72,'کارکرد اداری'!C:C,0),0))</f>
        <v>#N/A</v>
      </c>
      <c r="K72" s="164" t="e" cm="1">
        <f t="array" ref="K72">_xlfn.IFNA(INDEX('کارکرد اداری'!R:R,MATCH(C72,'کارکرد اداری'!B:B,0),0),INDEX('کارکرد اداری'!R:R,MATCH(D72,'کارکرد اداری'!C:C,0),0))</f>
        <v>#N/A</v>
      </c>
      <c r="L72" s="164" t="e" cm="1">
        <f t="array" ref="L72">_xlfn.IFNA(INDEX('کارکرد اداری'!S:S,MATCH(C72,'کارکرد اداری'!B:B,0),0),INDEX('کارکرد اداری'!S:S,MATCH(D72,'کارکرد اداری'!C:C,0),0))</f>
        <v>#N/A</v>
      </c>
      <c r="M72" s="164" t="e" cm="1">
        <f t="array" ref="M72">_xlfn.IFNA(INDEX('کارکرد اداری'!P:P,MATCH(C72,'کارکرد اداری'!B:B,0),0),INDEX('کارکرد اداری'!P:P,MATCH(D72,'کارکرد اداری'!C:C,0),0))</f>
        <v>#N/A</v>
      </c>
      <c r="N72" s="164" t="e" cm="1">
        <f t="array" ref="N72">_xlfn.IFNA(INDEX('کارکرد اداری'!Q:Q,MATCH(C72,'کارکرد اداری'!B:B,0),0),INDEX('کارکرد اداری'!Q:Q,MATCH(D72,'کارکرد اداری'!C:C,0),0))</f>
        <v>#N/A</v>
      </c>
      <c r="O72" s="95" t="e">
        <f t="shared" si="18"/>
        <v>#N/A</v>
      </c>
      <c r="P72" s="96" t="e">
        <f t="shared" si="19"/>
        <v>#N/A</v>
      </c>
      <c r="Q72" s="97" cm="1">
        <f t="array" ref="Q72">_xlfn.IFNA(INDEX(نهایی!CW:CW,MATCH(D72,نهایی!B:B,0),0)/60,INDEX(نهایی!CW:CW,MATCH(C72,نهایی!B:B,0),0)/60)</f>
        <v>126.33333333333333</v>
      </c>
      <c r="R72" s="97" t="e">
        <f t="shared" si="20"/>
        <v>#N/A</v>
      </c>
      <c r="S72" s="161">
        <f>_xlfn.IFNA(INDEX(نهایی!CX:CX,MATCH(D72,نهایی!B:B,0)),INDEX(نهایی!CX:CX,MATCH(C72,نهایی!B:B,0)))</f>
        <v>114.64712819561817</v>
      </c>
      <c r="T72" s="96">
        <f t="shared" si="21"/>
        <v>11.686205137715163</v>
      </c>
      <c r="U72" s="97" t="str">
        <f t="shared" si="22"/>
        <v/>
      </c>
      <c r="V72" s="96" t="e">
        <f t="shared" si="23"/>
        <v>#N/A</v>
      </c>
      <c r="W72" s="97" t="e">
        <f t="shared" si="24"/>
        <v>#N/A</v>
      </c>
      <c r="X72" s="96" t="e">
        <f t="shared" si="25"/>
        <v>#N/A</v>
      </c>
      <c r="Y72" s="94" t="e">
        <f t="shared" si="26"/>
        <v>#N/A</v>
      </c>
      <c r="Z72" s="27">
        <f>VLOOKUP(C72,نهایی!B:B,1,0)</f>
        <v>1137</v>
      </c>
      <c r="AA72" s="27" t="e">
        <f>VLOOKUP(D72,نهایی!B:B,1,0)</f>
        <v>#N/A</v>
      </c>
      <c r="AB72" s="171"/>
    </row>
    <row r="73" spans="1:28" s="62" customFormat="1" x14ac:dyDescent="0.25">
      <c r="A73" s="93"/>
      <c r="B73" s="93"/>
      <c r="C73" s="93">
        <f>_xlfn.XLOOKUP(D73,'کارکرد اداری'!$C$3:$C$106,'کارکرد اداری'!$B$3:$B$106,0,1)</f>
        <v>1145</v>
      </c>
      <c r="D73" s="98">
        <v>14920</v>
      </c>
      <c r="E73" s="93" t="s">
        <v>469</v>
      </c>
      <c r="F73" s="93"/>
      <c r="G73" s="98" t="str">
        <f>_xlfn.IFNA(_xlfn.XLOOKUP(D73,'کارکرد اداری'!$C$4:$C$204,'کارکرد اداری'!$N$4:$N$204,"0",0),_xlfn.XLOOKUP(C73,'کارکرد اداری'!$C$4:$C$204,'کارکرد اداری'!$N$4:$N$204,"0",0))</f>
        <v>0</v>
      </c>
      <c r="H73" s="98">
        <f>_xlfn.XLOOKUP(D73,'کارکرد اداری'!$C$4:$C$204,'کارکرد اداری'!$K$4:$K$204,0,1)</f>
        <v>0</v>
      </c>
      <c r="I73" s="98">
        <f>_xlfn.XLOOKUP(D73,'کارکرد اداری'!$C$4:$C$204,'کارکرد اداری'!$I$4:$I$204,0,1)</f>
        <v>0</v>
      </c>
      <c r="J73" s="164" t="e" cm="1">
        <f t="array" ref="J73">_xlfn.IFNA(INDEX('کارکرد اداری'!J:J,MATCH(C73,'کارکرد اداری'!B:B,0),0),INDEX('کارکرد اداری'!J:J,MATCH(D73,'کارکرد اداری'!C:C,0),0))</f>
        <v>#N/A</v>
      </c>
      <c r="K73" s="164" t="e" cm="1">
        <f t="array" ref="K73">_xlfn.IFNA(INDEX('کارکرد اداری'!R:R,MATCH(C73,'کارکرد اداری'!B:B,0),0),INDEX('کارکرد اداری'!R:R,MATCH(D73,'کارکرد اداری'!C:C,0),0))</f>
        <v>#N/A</v>
      </c>
      <c r="L73" s="164" t="e" cm="1">
        <f t="array" ref="L73">_xlfn.IFNA(INDEX('کارکرد اداری'!S:S,MATCH(C73,'کارکرد اداری'!B:B,0),0),INDEX('کارکرد اداری'!S:S,MATCH(D73,'کارکرد اداری'!C:C,0),0))</f>
        <v>#N/A</v>
      </c>
      <c r="M73" s="164" t="e" cm="1">
        <f t="array" ref="M73">_xlfn.IFNA(INDEX('کارکرد اداری'!P:P,MATCH(C73,'کارکرد اداری'!B:B,0),0),INDEX('کارکرد اداری'!P:P,MATCH(D73,'کارکرد اداری'!C:C,0),0))</f>
        <v>#N/A</v>
      </c>
      <c r="N73" s="164" t="e" cm="1">
        <f t="array" ref="N73">_xlfn.IFNA(INDEX('کارکرد اداری'!Q:Q,MATCH(C73,'کارکرد اداری'!B:B,0),0),INDEX('کارکرد اداری'!Q:Q,MATCH(D73,'کارکرد اداری'!C:C,0),0))</f>
        <v>#N/A</v>
      </c>
      <c r="O73" s="95" t="e">
        <f t="shared" si="18"/>
        <v>#N/A</v>
      </c>
      <c r="P73" s="96" t="e">
        <f t="shared" si="19"/>
        <v>#N/A</v>
      </c>
      <c r="Q73" s="97" cm="1">
        <f t="array" ref="Q73">_xlfn.IFNA(INDEX(نهایی!CW:CW,MATCH(D73,نهایی!B:B,0),0)/60,INDEX(نهایی!CW:CW,MATCH(C73,نهایی!B:B,0),0)/60)</f>
        <v>126.33333333333333</v>
      </c>
      <c r="R73" s="97" t="e">
        <f t="shared" si="20"/>
        <v>#N/A</v>
      </c>
      <c r="S73" s="161">
        <f>_xlfn.IFNA(INDEX(نهایی!CX:CX,MATCH(D73,نهایی!B:B,0)),INDEX(نهایی!CX:CX,MATCH(C73,نهایی!B:B,0)))</f>
        <v>119.37744906217607</v>
      </c>
      <c r="T73" s="96">
        <f t="shared" si="21"/>
        <v>6.9558842711572595</v>
      </c>
      <c r="U73" s="97" t="str">
        <f t="shared" si="22"/>
        <v/>
      </c>
      <c r="V73" s="96" t="e">
        <f t="shared" si="23"/>
        <v>#N/A</v>
      </c>
      <c r="W73" s="97" t="e">
        <f t="shared" si="24"/>
        <v>#N/A</v>
      </c>
      <c r="X73" s="96" t="e">
        <f t="shared" si="25"/>
        <v>#N/A</v>
      </c>
      <c r="Y73" s="94" t="e">
        <f t="shared" si="26"/>
        <v>#N/A</v>
      </c>
      <c r="Z73" s="27">
        <f>VLOOKUP(C73,نهایی!B:B,1,0)</f>
        <v>1145</v>
      </c>
      <c r="AA73" s="27" t="e">
        <f>VLOOKUP(D73,نهایی!B:B,1,0)</f>
        <v>#N/A</v>
      </c>
      <c r="AB73" s="171"/>
    </row>
    <row r="74" spans="1:28" s="62" customFormat="1" x14ac:dyDescent="0.25">
      <c r="A74" s="93"/>
      <c r="B74" s="93"/>
      <c r="C74" s="93">
        <f>_xlfn.XLOOKUP(D74,'کارکرد اداری'!$C$3:$C$106,'کارکرد اداری'!$B$3:$B$106,0,1)</f>
        <v>551</v>
      </c>
      <c r="D74" s="100">
        <v>14546</v>
      </c>
      <c r="E74" s="93" t="s">
        <v>338</v>
      </c>
      <c r="F74" s="93"/>
      <c r="G74" s="98" t="str">
        <f>_xlfn.IFNA(_xlfn.XLOOKUP(D74,'کارکرد اداری'!$C$4:$C$204,'کارکرد اداری'!$N$4:$N$204,"0",0),_xlfn.XLOOKUP(C74,'کارکرد اداری'!$C$4:$C$204,'کارکرد اداری'!$N$4:$N$204,"0",0))</f>
        <v>0</v>
      </c>
      <c r="H74" s="98">
        <f>_xlfn.XLOOKUP(D74,'کارکرد اداری'!$C$4:$C$204,'کارکرد اداری'!$K$4:$K$204,0,1)</f>
        <v>0</v>
      </c>
      <c r="I74" s="98">
        <f>_xlfn.XLOOKUP(D74,'کارکرد اداری'!$C$4:$C$204,'کارکرد اداری'!$I$4:$I$204,0,1)</f>
        <v>0</v>
      </c>
      <c r="J74" s="164" t="e" cm="1">
        <f t="array" ref="J74">_xlfn.IFNA(INDEX('کارکرد اداری'!J:J,MATCH(C74,'کارکرد اداری'!B:B,0),0),INDEX('کارکرد اداری'!J:J,MATCH(D74,'کارکرد اداری'!C:C,0),0))</f>
        <v>#N/A</v>
      </c>
      <c r="K74" s="164" t="e" cm="1">
        <f t="array" ref="K74">_xlfn.IFNA(INDEX('کارکرد اداری'!R:R,MATCH(C74,'کارکرد اداری'!B:B,0),0),INDEX('کارکرد اداری'!R:R,MATCH(D74,'کارکرد اداری'!C:C,0),0))</f>
        <v>#N/A</v>
      </c>
      <c r="L74" s="164" t="e" cm="1">
        <f t="array" ref="L74">_xlfn.IFNA(INDEX('کارکرد اداری'!S:S,MATCH(C74,'کارکرد اداری'!B:B,0),0),INDEX('کارکرد اداری'!S:S,MATCH(D74,'کارکرد اداری'!C:C,0),0))</f>
        <v>#N/A</v>
      </c>
      <c r="M74" s="164" t="e" cm="1">
        <f t="array" ref="M74">_xlfn.IFNA(INDEX('کارکرد اداری'!P:P,MATCH(C74,'کارکرد اداری'!B:B,0),0),INDEX('کارکرد اداری'!P:P,MATCH(D74,'کارکرد اداری'!C:C,0),0))</f>
        <v>#N/A</v>
      </c>
      <c r="N74" s="164" t="e" cm="1">
        <f t="array" ref="N74">_xlfn.IFNA(INDEX('کارکرد اداری'!Q:Q,MATCH(C74,'کارکرد اداری'!B:B,0),0),INDEX('کارکرد اداری'!Q:Q,MATCH(D74,'کارکرد اداری'!C:C,0),0))</f>
        <v>#N/A</v>
      </c>
      <c r="O74" s="95" t="e">
        <f t="shared" si="18"/>
        <v>#N/A</v>
      </c>
      <c r="P74" s="96" t="e">
        <f t="shared" si="19"/>
        <v>#N/A</v>
      </c>
      <c r="Q74" s="97" cm="1">
        <f t="array" ref="Q74">_xlfn.IFNA(INDEX(نهایی!CW:CW,MATCH(D74,نهایی!B:B,0),0)/60,INDEX(نهایی!CW:CW,MATCH(C74,نهایی!B:B,0),0)/60)</f>
        <v>129.33333333333334</v>
      </c>
      <c r="R74" s="97" t="e">
        <f t="shared" si="20"/>
        <v>#N/A</v>
      </c>
      <c r="S74" s="161">
        <f>_xlfn.IFNA(INDEX(نهایی!CX:CX,MATCH(D74,نهایی!B:B,0)),INDEX(نهایی!CX:CX,MATCH(C74,نهایی!B:B,0)))</f>
        <v>114.31996846648227</v>
      </c>
      <c r="T74" s="96">
        <f t="shared" si="21"/>
        <v>15.013364866851077</v>
      </c>
      <c r="U74" s="97" t="str">
        <f t="shared" si="22"/>
        <v/>
      </c>
      <c r="V74" s="96" t="e">
        <f t="shared" si="23"/>
        <v>#N/A</v>
      </c>
      <c r="W74" s="97" t="e">
        <f t="shared" si="24"/>
        <v>#N/A</v>
      </c>
      <c r="X74" s="96" t="e">
        <f t="shared" si="25"/>
        <v>#N/A</v>
      </c>
      <c r="Y74" s="94" t="e">
        <f t="shared" si="26"/>
        <v>#N/A</v>
      </c>
      <c r="Z74" s="27" t="e">
        <f>VLOOKUP(C74,نهایی!B:B,1,0)</f>
        <v>#N/A</v>
      </c>
      <c r="AA74" s="27">
        <f>VLOOKUP(D74,نهایی!B:B,1,0)</f>
        <v>14546</v>
      </c>
      <c r="AB74" s="171"/>
    </row>
    <row r="75" spans="1:28" s="62" customFormat="1" x14ac:dyDescent="0.25">
      <c r="A75" s="93"/>
      <c r="B75" s="93"/>
      <c r="C75" s="93">
        <v>1166</v>
      </c>
      <c r="D75" s="100">
        <v>1166</v>
      </c>
      <c r="E75" s="93" t="s">
        <v>500</v>
      </c>
      <c r="F75" s="127"/>
      <c r="G75" s="98" t="e">
        <f>_xlfn.IFNA(_xlfn.XLOOKUP(D75,'کارکرد اداری'!$C$4:$C$204,'کارکرد اداری'!$N$4:$N$204,"0",0),_xlfn.XLOOKUP(C75,'کارکرد اداری'!$C$4:$C$204,'کارکرد اداری'!$N$4:$N$204,"0",0))</f>
        <v>#N/A</v>
      </c>
      <c r="H75" s="98">
        <f>_xlfn.XLOOKUP(D75,'کارکرد اداری'!$C$4:$C$204,'کارکرد اداری'!$K$4:$K$204,0,1)</f>
        <v>0</v>
      </c>
      <c r="I75" s="98">
        <f>_xlfn.XLOOKUP(D75,'کارکرد اداری'!$C$4:$C$204,'کارکرد اداری'!$I$4:$I$204,0,1)</f>
        <v>0</v>
      </c>
      <c r="J75" s="164" t="e" cm="1">
        <f t="array" ref="J75">_xlfn.IFNA(INDEX('کارکرد اداری'!J:J,MATCH(C75,'کارکرد اداری'!B:B,0),0),INDEX('کارکرد اداری'!J:J,MATCH(D75,'کارکرد اداری'!C:C,0),0))</f>
        <v>#N/A</v>
      </c>
      <c r="K75" s="164" t="e" cm="1">
        <f t="array" ref="K75">_xlfn.IFNA(INDEX('کارکرد اداری'!R:R,MATCH(C75,'کارکرد اداری'!B:B,0),0),INDEX('کارکرد اداری'!R:R,MATCH(D75,'کارکرد اداری'!C:C,0),0))</f>
        <v>#N/A</v>
      </c>
      <c r="L75" s="164" t="e" cm="1">
        <f t="array" ref="L75">_xlfn.IFNA(INDEX('کارکرد اداری'!S:S,MATCH(C75,'کارکرد اداری'!B:B,0),0),INDEX('کارکرد اداری'!S:S,MATCH(D75,'کارکرد اداری'!C:C,0),0))</f>
        <v>#N/A</v>
      </c>
      <c r="M75" s="164" t="e" cm="1">
        <f t="array" ref="M75">_xlfn.IFNA(INDEX('کارکرد اداری'!P:P,MATCH(C75,'کارکرد اداری'!B:B,0),0),INDEX('کارکرد اداری'!P:P,MATCH(D75,'کارکرد اداری'!C:C,0),0))</f>
        <v>#N/A</v>
      </c>
      <c r="N75" s="164" t="e" cm="1">
        <f t="array" ref="N75">_xlfn.IFNA(INDEX('کارکرد اداری'!Q:Q,MATCH(C75,'کارکرد اداری'!B:B,0),0),INDEX('کارکرد اداری'!Q:Q,MATCH(D75,'کارکرد اداری'!C:C,0),0))</f>
        <v>#N/A</v>
      </c>
      <c r="O75" s="95" t="e">
        <f t="shared" si="18"/>
        <v>#N/A</v>
      </c>
      <c r="P75" s="96" t="e">
        <f t="shared" si="19"/>
        <v>#N/A</v>
      </c>
      <c r="Q75" s="97" cm="1">
        <f t="array" ref="Q75">_xlfn.IFNA(INDEX(نهایی!CW:CW,MATCH(D75,نهایی!B:B,0),0)/60,INDEX(نهایی!CW:CW,MATCH(C75,نهایی!B:B,0),0)/60)</f>
        <v>136.66666666666666</v>
      </c>
      <c r="R75" s="97" t="e">
        <f t="shared" si="20"/>
        <v>#N/A</v>
      </c>
      <c r="S75" s="161">
        <f>_xlfn.IFNA(INDEX(نهایی!CX:CX,MATCH(D75,نهایی!B:B,0)),INDEX(نهایی!CX:CX,MATCH(C75,نهایی!B:B,0)))</f>
        <v>113.46600686789327</v>
      </c>
      <c r="T75" s="96">
        <f t="shared" si="21"/>
        <v>23.200659798773387</v>
      </c>
      <c r="U75" s="97" t="str">
        <f t="shared" si="22"/>
        <v/>
      </c>
      <c r="V75" s="96" t="e">
        <f t="shared" si="23"/>
        <v>#N/A</v>
      </c>
      <c r="W75" s="97" t="e">
        <f t="shared" si="24"/>
        <v>#N/A</v>
      </c>
      <c r="X75" s="96" t="e">
        <f t="shared" si="25"/>
        <v>#N/A</v>
      </c>
      <c r="Y75" s="94" t="e">
        <f t="shared" si="26"/>
        <v>#N/A</v>
      </c>
      <c r="Z75" s="27">
        <f>VLOOKUP(C75,نهایی!B:B,1,0)</f>
        <v>1166</v>
      </c>
      <c r="AA75" s="27">
        <f>VLOOKUP(D75,نهایی!B:B,1,0)</f>
        <v>1166</v>
      </c>
      <c r="AB75" s="171"/>
    </row>
    <row r="76" spans="1:28" s="62" customFormat="1" x14ac:dyDescent="0.25">
      <c r="A76" s="93"/>
      <c r="B76" s="93"/>
      <c r="C76" s="93">
        <f>_xlfn.XLOOKUP(D76,'کارکرد اداری'!$C$3:$C$106,'کارکرد اداری'!$B$3:$B$106,0,1)</f>
        <v>590</v>
      </c>
      <c r="D76" s="98">
        <v>14538</v>
      </c>
      <c r="E76" s="93" t="s">
        <v>329</v>
      </c>
      <c r="F76" s="93"/>
      <c r="G76" s="98" t="str">
        <f>_xlfn.IFNA(_xlfn.XLOOKUP(D76,'کارکرد اداری'!$C$4:$C$204,'کارکرد اداری'!$N$4:$N$204,"0",0),_xlfn.XLOOKUP(C76,'کارکرد اداری'!$C$4:$C$204,'کارکرد اداری'!$N$4:$N$204,"0",0))</f>
        <v>0</v>
      </c>
      <c r="H76" s="98">
        <f>_xlfn.XLOOKUP(D76,'کارکرد اداری'!$C$4:$C$204,'کارکرد اداری'!$K$4:$K$204,0,1)</f>
        <v>0</v>
      </c>
      <c r="I76" s="98">
        <f>_xlfn.XLOOKUP(D76,'کارکرد اداری'!$C$4:$C$204,'کارکرد اداری'!$I$4:$I$204,0,1)</f>
        <v>0</v>
      </c>
      <c r="J76" s="164" t="e" cm="1">
        <f t="array" ref="J76">_xlfn.IFNA(INDEX('کارکرد اداری'!J:J,MATCH(C76,'کارکرد اداری'!B:B,0),0),INDEX('کارکرد اداری'!J:J,MATCH(D76,'کارکرد اداری'!C:C,0),0))</f>
        <v>#N/A</v>
      </c>
      <c r="K76" s="164" t="e" cm="1">
        <f t="array" ref="K76">_xlfn.IFNA(INDEX('کارکرد اداری'!R:R,MATCH(C76,'کارکرد اداری'!B:B,0),0),INDEX('کارکرد اداری'!R:R,MATCH(D76,'کارکرد اداری'!C:C,0),0))</f>
        <v>#N/A</v>
      </c>
      <c r="L76" s="164" t="e" cm="1">
        <f t="array" ref="L76">_xlfn.IFNA(INDEX('کارکرد اداری'!S:S,MATCH(C76,'کارکرد اداری'!B:B,0),0),INDEX('کارکرد اداری'!S:S,MATCH(D76,'کارکرد اداری'!C:C,0),0))</f>
        <v>#N/A</v>
      </c>
      <c r="M76" s="164" t="e" cm="1">
        <f t="array" ref="M76">_xlfn.IFNA(INDEX('کارکرد اداری'!P:P,MATCH(C76,'کارکرد اداری'!B:B,0),0),INDEX('کارکرد اداری'!P:P,MATCH(D76,'کارکرد اداری'!C:C,0),0))</f>
        <v>#N/A</v>
      </c>
      <c r="N76" s="164" t="e" cm="1">
        <f t="array" ref="N76">_xlfn.IFNA(INDEX('کارکرد اداری'!Q:Q,MATCH(C76,'کارکرد اداری'!B:B,0),0),INDEX('کارکرد اداری'!Q:Q,MATCH(D76,'کارکرد اداری'!C:C,0),0))</f>
        <v>#N/A</v>
      </c>
      <c r="O76" s="95" t="e">
        <f t="shared" si="18"/>
        <v>#N/A</v>
      </c>
      <c r="P76" s="96" t="e">
        <f t="shared" si="19"/>
        <v>#N/A</v>
      </c>
      <c r="Q76" s="97" cm="1">
        <f t="array" ref="Q76">_xlfn.IFNA(INDEX(نهایی!CW:CW,MATCH(D76,نهایی!B:B,0),0)/60,INDEX(نهایی!CW:CW,MATCH(C76,نهایی!B:B,0),0)/60)</f>
        <v>163.66666666666666</v>
      </c>
      <c r="R76" s="97" t="e">
        <f t="shared" si="20"/>
        <v>#N/A</v>
      </c>
      <c r="S76" s="161">
        <f>_xlfn.IFNA(INDEX(نهایی!CX:CX,MATCH(D76,نهایی!B:B,0)),INDEX(نهایی!CX:CX,MATCH(C76,نهایی!B:B,0)))</f>
        <v>156.55302211855465</v>
      </c>
      <c r="T76" s="96">
        <f t="shared" si="21"/>
        <v>7.1136445481120063</v>
      </c>
      <c r="U76" s="97" t="str">
        <f t="shared" si="22"/>
        <v/>
      </c>
      <c r="V76" s="96" t="e">
        <f t="shared" si="23"/>
        <v>#N/A</v>
      </c>
      <c r="W76" s="97" t="e">
        <f t="shared" si="24"/>
        <v>#N/A</v>
      </c>
      <c r="X76" s="96" t="e">
        <f t="shared" si="25"/>
        <v>#N/A</v>
      </c>
      <c r="Y76" s="94" t="e">
        <f t="shared" si="26"/>
        <v>#N/A</v>
      </c>
      <c r="Z76" s="27" t="e">
        <f>VLOOKUP(C76,نهایی!B:B,1,0)</f>
        <v>#N/A</v>
      </c>
      <c r="AA76" s="27">
        <f>VLOOKUP(D76,نهایی!B:B,1,0)</f>
        <v>14538</v>
      </c>
      <c r="AB76" s="171"/>
    </row>
    <row r="77" spans="1:28" s="62" customFormat="1" x14ac:dyDescent="0.25">
      <c r="A77" s="93"/>
      <c r="B77" s="93"/>
      <c r="C77" s="93">
        <f>_xlfn.XLOOKUP(D77,'کارکرد اداری'!$C$3:$C$106,'کارکرد اداری'!$B$3:$B$106,0,1)</f>
        <v>1112</v>
      </c>
      <c r="D77" s="100">
        <v>14897</v>
      </c>
      <c r="E77" s="93" t="s">
        <v>434</v>
      </c>
      <c r="F77" s="93"/>
      <c r="G77" s="98" t="str">
        <f>_xlfn.IFNA(_xlfn.XLOOKUP(D77,'کارکرد اداری'!$C$4:$C$204,'کارکرد اداری'!$N$4:$N$204,"0",0),_xlfn.XLOOKUP(C77,'کارکرد اداری'!$C$4:$C$204,'کارکرد اداری'!$N$4:$N$204,"0",0))</f>
        <v>0</v>
      </c>
      <c r="H77" s="98">
        <f>_xlfn.XLOOKUP(D77,'کارکرد اداری'!$C$4:$C$204,'کارکرد اداری'!$K$4:$K$204,0,1)</f>
        <v>0</v>
      </c>
      <c r="I77" s="98">
        <f>_xlfn.XLOOKUP(D77,'کارکرد اداری'!$C$4:$C$204,'کارکرد اداری'!$I$4:$I$204,0,1)</f>
        <v>0</v>
      </c>
      <c r="J77" s="164" t="e" cm="1">
        <f t="array" ref="J77">_xlfn.IFNA(INDEX('کارکرد اداری'!J:J,MATCH(C77,'کارکرد اداری'!B:B,0),0),INDEX('کارکرد اداری'!J:J,MATCH(D77,'کارکرد اداری'!C:C,0),0))</f>
        <v>#N/A</v>
      </c>
      <c r="K77" s="164" t="e" cm="1">
        <f t="array" ref="K77">_xlfn.IFNA(INDEX('کارکرد اداری'!R:R,MATCH(C77,'کارکرد اداری'!B:B,0),0),INDEX('کارکرد اداری'!R:R,MATCH(D77,'کارکرد اداری'!C:C,0),0))</f>
        <v>#N/A</v>
      </c>
      <c r="L77" s="164" t="e" cm="1">
        <f t="array" ref="L77">_xlfn.IFNA(INDEX('کارکرد اداری'!S:S,MATCH(C77,'کارکرد اداری'!B:B,0),0),INDEX('کارکرد اداری'!S:S,MATCH(D77,'کارکرد اداری'!C:C,0),0))</f>
        <v>#N/A</v>
      </c>
      <c r="M77" s="164" t="e" cm="1">
        <f t="array" ref="M77">_xlfn.IFNA(INDEX('کارکرد اداری'!P:P,MATCH(C77,'کارکرد اداری'!B:B,0),0),INDEX('کارکرد اداری'!P:P,MATCH(D77,'کارکرد اداری'!C:C,0),0))</f>
        <v>#N/A</v>
      </c>
      <c r="N77" s="164" t="e" cm="1">
        <f t="array" ref="N77">_xlfn.IFNA(INDEX('کارکرد اداری'!Q:Q,MATCH(C77,'کارکرد اداری'!B:B,0),0),INDEX('کارکرد اداری'!Q:Q,MATCH(D77,'کارکرد اداری'!C:C,0),0))</f>
        <v>#N/A</v>
      </c>
      <c r="O77" s="95" t="e">
        <f t="shared" si="18"/>
        <v>#N/A</v>
      </c>
      <c r="P77" s="96" t="e">
        <f t="shared" si="19"/>
        <v>#N/A</v>
      </c>
      <c r="Q77" s="97" cm="1">
        <f t="array" ref="Q77">_xlfn.IFNA(INDEX(نهایی!CW:CW,MATCH(D77,نهایی!B:B,0),0)/60,INDEX(نهایی!CW:CW,MATCH(C77,نهایی!B:B,0),0)/60)</f>
        <v>122</v>
      </c>
      <c r="R77" s="97" t="e">
        <f t="shared" si="20"/>
        <v>#N/A</v>
      </c>
      <c r="S77" s="161">
        <f>_xlfn.IFNA(INDEX(نهایی!CX:CX,MATCH(D77,نهایی!B:B,0)),INDEX(نهایی!CX:CX,MATCH(C77,نهایی!B:B,0)))</f>
        <v>117.59981280441639</v>
      </c>
      <c r="T77" s="96">
        <f t="shared" si="21"/>
        <v>4.4001871955836123</v>
      </c>
      <c r="U77" s="97" t="str">
        <f t="shared" si="22"/>
        <v/>
      </c>
      <c r="V77" s="96" t="e">
        <f t="shared" si="23"/>
        <v>#N/A</v>
      </c>
      <c r="W77" s="97" t="e">
        <f t="shared" si="24"/>
        <v>#N/A</v>
      </c>
      <c r="X77" s="96" t="e">
        <f t="shared" si="25"/>
        <v>#N/A</v>
      </c>
      <c r="Y77" s="94" t="e">
        <f t="shared" si="26"/>
        <v>#N/A</v>
      </c>
      <c r="Z77" s="27">
        <f>VLOOKUP(C77,نهایی!B:B,1,0)</f>
        <v>1112</v>
      </c>
      <c r="AA77" s="27" t="e">
        <f>VLOOKUP(D77,نهایی!B:B,1,0)</f>
        <v>#N/A</v>
      </c>
      <c r="AB77" s="171"/>
    </row>
    <row r="78" spans="1:28" s="71" customFormat="1" x14ac:dyDescent="0.25">
      <c r="A78" s="93" t="s">
        <v>413</v>
      </c>
      <c r="B78" s="93"/>
      <c r="C78" s="93">
        <v>1185</v>
      </c>
      <c r="D78" s="100">
        <v>1185</v>
      </c>
      <c r="E78" s="93" t="s">
        <v>543</v>
      </c>
      <c r="F78" s="93"/>
      <c r="G78" s="98" t="e">
        <f>_xlfn.IFNA(_xlfn.XLOOKUP(D78,'کارکرد اداری'!$C$4:$C$204,'کارکرد اداری'!$N$4:$N$204,"0",0),_xlfn.XLOOKUP(C78,'کارکرد اداری'!$C$4:$C$204,'کارکرد اداری'!$N$4:$N$204,"0",0))</f>
        <v>#N/A</v>
      </c>
      <c r="H78" s="98">
        <f>_xlfn.XLOOKUP(D78,'کارکرد اداری'!$C$4:$C$204,'کارکرد اداری'!$K$4:$K$204,0,1)</f>
        <v>0</v>
      </c>
      <c r="I78" s="98">
        <f>_xlfn.XLOOKUP(D78,'کارکرد اداری'!$C$4:$C$204,'کارکرد اداری'!$I$4:$I$204,0,1)</f>
        <v>0</v>
      </c>
      <c r="J78" s="164" t="e" cm="1">
        <f t="array" ref="J78">_xlfn.IFNA(INDEX('کارکرد اداری'!J:J,MATCH(C78,'کارکرد اداری'!B:B,0),0),INDEX('کارکرد اداری'!J:J,MATCH(D78,'کارکرد اداری'!C:C,0),0))</f>
        <v>#N/A</v>
      </c>
      <c r="K78" s="164" t="e" cm="1">
        <f t="array" ref="K78">_xlfn.IFNA(INDEX('کارکرد اداری'!R:R,MATCH(C78,'کارکرد اداری'!B:B,0),0),INDEX('کارکرد اداری'!R:R,MATCH(D78,'کارکرد اداری'!C:C,0),0))</f>
        <v>#N/A</v>
      </c>
      <c r="L78" s="164" t="e" cm="1">
        <f t="array" ref="L78">_xlfn.IFNA(INDEX('کارکرد اداری'!S:S,MATCH(C78,'کارکرد اداری'!B:B,0),0),INDEX('کارکرد اداری'!S:S,MATCH(D78,'کارکرد اداری'!C:C,0),0))</f>
        <v>#N/A</v>
      </c>
      <c r="M78" s="164" t="e" cm="1">
        <f t="array" ref="M78">_xlfn.IFNA(INDEX('کارکرد اداری'!P:P,MATCH(C78,'کارکرد اداری'!B:B,0),0),INDEX('کارکرد اداری'!P:P,MATCH(D78,'کارکرد اداری'!C:C,0),0))</f>
        <v>#N/A</v>
      </c>
      <c r="N78" s="164" t="e" cm="1">
        <f t="array" ref="N78">_xlfn.IFNA(INDEX('کارکرد اداری'!Q:Q,MATCH(C78,'کارکرد اداری'!B:B,0),0),INDEX('کارکرد اداری'!Q:Q,MATCH(D78,'کارکرد اداری'!C:C,0),0))</f>
        <v>#N/A</v>
      </c>
      <c r="O78" s="100" t="e">
        <f t="shared" si="18"/>
        <v>#N/A</v>
      </c>
      <c r="P78" s="96" t="e">
        <f t="shared" si="19"/>
        <v>#N/A</v>
      </c>
      <c r="Q78" s="97" cm="1">
        <f t="array" ref="Q78">_xlfn.IFNA(INDEX(نهایی!CW:CW,MATCH(D78,نهایی!B:B,0),0)/60,INDEX(نهایی!CW:CW,MATCH(C78,نهایی!B:B,0),0)/60)</f>
        <v>157.16666666666666</v>
      </c>
      <c r="R78" s="97" t="e">
        <f t="shared" si="20"/>
        <v>#N/A</v>
      </c>
      <c r="S78" s="161">
        <f>_xlfn.IFNA(INDEX(نهایی!CX:CX,MATCH(D78,نهایی!B:B,0)),INDEX(نهایی!CX:CX,MATCH(C78,نهایی!B:B,0)))</f>
        <v>149.64759103641455</v>
      </c>
      <c r="T78" s="96">
        <f t="shared" si="21"/>
        <v>7.5190756302521038</v>
      </c>
      <c r="U78" s="97" t="str">
        <f t="shared" si="22"/>
        <v/>
      </c>
      <c r="V78" s="96" t="e">
        <f t="shared" si="23"/>
        <v>#N/A</v>
      </c>
      <c r="W78" s="97" t="e">
        <f t="shared" si="24"/>
        <v>#N/A</v>
      </c>
      <c r="X78" s="96" t="e">
        <f t="shared" si="25"/>
        <v>#N/A</v>
      </c>
      <c r="Y78" s="94" t="e">
        <f t="shared" si="26"/>
        <v>#N/A</v>
      </c>
      <c r="Z78" s="27">
        <f>VLOOKUP(C78,نهایی!B:B,1,0)</f>
        <v>1185</v>
      </c>
      <c r="AA78" s="27">
        <f>VLOOKUP(D78,نهایی!B:B,1,0)</f>
        <v>1185</v>
      </c>
      <c r="AB78" s="173"/>
    </row>
    <row r="79" spans="1:28" s="62" customFormat="1" x14ac:dyDescent="0.25">
      <c r="A79" s="93" t="s">
        <v>352</v>
      </c>
      <c r="B79" s="93"/>
      <c r="C79" s="93">
        <f>_xlfn.XLOOKUP(D79,'کارکرد اداری'!$C$3:$C$106,'کارکرد اداری'!$B$3:$B$106,0,1)</f>
        <v>700</v>
      </c>
      <c r="D79" s="100">
        <v>14603</v>
      </c>
      <c r="E79" s="93" t="s">
        <v>372</v>
      </c>
      <c r="F79" s="93"/>
      <c r="G79" s="98" t="str">
        <f>_xlfn.IFNA(_xlfn.XLOOKUP(D79,'کارکرد اداری'!$C$4:$C$204,'کارکرد اداری'!$N$4:$N$204,"0",0),_xlfn.XLOOKUP(C79,'کارکرد اداری'!$C$4:$C$204,'کارکرد اداری'!$N$4:$N$204,"0",0))</f>
        <v>0</v>
      </c>
      <c r="H79" s="98">
        <f>_xlfn.XLOOKUP(D79,'کارکرد اداری'!$C$4:$C$204,'کارکرد اداری'!$K$4:$K$204,0,1)</f>
        <v>0</v>
      </c>
      <c r="I79" s="98">
        <f>_xlfn.XLOOKUP(D79,'کارکرد اداری'!$C$4:$C$204,'کارکرد اداری'!$I$4:$I$204,0,1)</f>
        <v>0</v>
      </c>
      <c r="J79" s="164" t="e" cm="1">
        <f t="array" ref="J79">_xlfn.IFNA(INDEX('کارکرد اداری'!J:J,MATCH(C79,'کارکرد اداری'!B:B,0),0),INDEX('کارکرد اداری'!J:J,MATCH(D79,'کارکرد اداری'!C:C,0),0))</f>
        <v>#N/A</v>
      </c>
      <c r="K79" s="164" t="e" cm="1">
        <f t="array" ref="K79">_xlfn.IFNA(INDEX('کارکرد اداری'!R:R,MATCH(C79,'کارکرد اداری'!B:B,0),0),INDEX('کارکرد اداری'!R:R,MATCH(D79,'کارکرد اداری'!C:C,0),0))</f>
        <v>#N/A</v>
      </c>
      <c r="L79" s="164" t="e" cm="1">
        <f t="array" ref="L79">_xlfn.IFNA(INDEX('کارکرد اداری'!S:S,MATCH(C79,'کارکرد اداری'!B:B,0),0),INDEX('کارکرد اداری'!S:S,MATCH(D79,'کارکرد اداری'!C:C,0),0))</f>
        <v>#N/A</v>
      </c>
      <c r="M79" s="164" t="e" cm="1">
        <f t="array" ref="M79">_xlfn.IFNA(INDEX('کارکرد اداری'!P:P,MATCH(C79,'کارکرد اداری'!B:B,0),0),INDEX('کارکرد اداری'!P:P,MATCH(D79,'کارکرد اداری'!C:C,0),0))</f>
        <v>#N/A</v>
      </c>
      <c r="N79" s="164" t="e" cm="1">
        <f t="array" ref="N79">_xlfn.IFNA(INDEX('کارکرد اداری'!Q:Q,MATCH(C79,'کارکرد اداری'!B:B,0),0),INDEX('کارکرد اداری'!Q:Q,MATCH(D79,'کارکرد اداری'!C:C,0),0))</f>
        <v>#N/A</v>
      </c>
      <c r="O79" s="100" t="e">
        <f t="shared" si="18"/>
        <v>#N/A</v>
      </c>
      <c r="P79" s="96" t="e">
        <f t="shared" si="19"/>
        <v>#N/A</v>
      </c>
      <c r="Q79" s="97" cm="1">
        <f t="array" ref="Q79">_xlfn.IFNA(INDEX(نهایی!CW:CW,MATCH(D79,نهایی!B:B,0),0)/60,INDEX(نهایی!CW:CW,MATCH(C79,نهایی!B:B,0),0)/60)</f>
        <v>122.83333333333333</v>
      </c>
      <c r="R79" s="97" t="e">
        <f t="shared" si="20"/>
        <v>#N/A</v>
      </c>
      <c r="S79" s="161">
        <f>_xlfn.IFNA(INDEX(نهایی!CX:CX,MATCH(D79,نهایی!B:B,0)),INDEX(نهایی!CX:CX,MATCH(C79,نهایی!B:B,0)))</f>
        <v>112.38025252308745</v>
      </c>
      <c r="T79" s="96">
        <f t="shared" si="21"/>
        <v>10.453080810245879</v>
      </c>
      <c r="U79" s="97" t="str">
        <f t="shared" si="22"/>
        <v/>
      </c>
      <c r="V79" s="96" t="e">
        <f t="shared" si="23"/>
        <v>#N/A</v>
      </c>
      <c r="W79" s="97" t="e">
        <f t="shared" si="24"/>
        <v>#N/A</v>
      </c>
      <c r="X79" s="96" t="e">
        <f t="shared" si="25"/>
        <v>#N/A</v>
      </c>
      <c r="Y79" s="94" t="e">
        <f t="shared" si="26"/>
        <v>#N/A</v>
      </c>
      <c r="Z79" s="27" t="e">
        <f>VLOOKUP(C79,نهایی!B:B,1,0)</f>
        <v>#N/A</v>
      </c>
      <c r="AA79" s="27">
        <f>VLOOKUP(D79,نهایی!B:B,1,0)</f>
        <v>14603</v>
      </c>
      <c r="AB79" s="171"/>
    </row>
    <row r="80" spans="1:28" s="62" customFormat="1" x14ac:dyDescent="0.25">
      <c r="A80" s="127"/>
      <c r="B80" s="127"/>
      <c r="C80" s="93">
        <f>_xlfn.XLOOKUP(D80,'کارکرد اداری'!$C$3:$C$106,'کارکرد اداری'!$B$3:$B$106,0,1)</f>
        <v>1063</v>
      </c>
      <c r="D80" s="128">
        <v>14799</v>
      </c>
      <c r="E80" s="127" t="s">
        <v>407</v>
      </c>
      <c r="F80" s="127"/>
      <c r="G80" s="98" t="str">
        <f>_xlfn.IFNA(_xlfn.XLOOKUP(D80,'کارکرد اداری'!$C$4:$C$204,'کارکرد اداری'!$N$4:$N$204,"0",0),_xlfn.XLOOKUP(C80,'کارکرد اداری'!$C$4:$C$204,'کارکرد اداری'!$N$4:$N$204,"0",0))</f>
        <v>0</v>
      </c>
      <c r="H80" s="98">
        <f>_xlfn.XLOOKUP(D80,'کارکرد اداری'!$C$4:$C$204,'کارکرد اداری'!$K$4:$K$204,0,1)</f>
        <v>0</v>
      </c>
      <c r="I80" s="98">
        <f>_xlfn.XLOOKUP(D80,'کارکرد اداری'!$C$4:$C$204,'کارکرد اداری'!$I$4:$I$204,0,1)</f>
        <v>0</v>
      </c>
      <c r="J80" s="164" t="e" cm="1">
        <f t="array" ref="J80">_xlfn.IFNA(INDEX('کارکرد اداری'!J:J,MATCH(C80,'کارکرد اداری'!B:B,0),0),INDEX('کارکرد اداری'!J:J,MATCH(D80,'کارکرد اداری'!C:C,0),0))</f>
        <v>#N/A</v>
      </c>
      <c r="K80" s="164" t="e" cm="1">
        <f t="array" ref="K80">_xlfn.IFNA(INDEX('کارکرد اداری'!R:R,MATCH(C80,'کارکرد اداری'!B:B,0),0),INDEX('کارکرد اداری'!R:R,MATCH(D80,'کارکرد اداری'!C:C,0),0))</f>
        <v>#N/A</v>
      </c>
      <c r="L80" s="164" t="e" cm="1">
        <f t="array" ref="L80">_xlfn.IFNA(INDEX('کارکرد اداری'!S:S,MATCH(C80,'کارکرد اداری'!B:B,0),0),INDEX('کارکرد اداری'!S:S,MATCH(D80,'کارکرد اداری'!C:C,0),0))</f>
        <v>#N/A</v>
      </c>
      <c r="M80" s="164" t="e" cm="1">
        <f t="array" ref="M80">_xlfn.IFNA(INDEX('کارکرد اداری'!P:P,MATCH(C80,'کارکرد اداری'!B:B,0),0),INDEX('کارکرد اداری'!P:P,MATCH(D80,'کارکرد اداری'!C:C,0),0))</f>
        <v>#N/A</v>
      </c>
      <c r="N80" s="164" t="e" cm="1">
        <f t="array" ref="N80">_xlfn.IFNA(INDEX('کارکرد اداری'!Q:Q,MATCH(C80,'کارکرد اداری'!B:B,0),0),INDEX('کارکرد اداری'!Q:Q,MATCH(D80,'کارکرد اداری'!C:C,0),0))</f>
        <v>#N/A</v>
      </c>
      <c r="O80" s="95" t="e">
        <f t="shared" si="18"/>
        <v>#N/A</v>
      </c>
      <c r="P80" s="96" t="e">
        <f t="shared" si="19"/>
        <v>#N/A</v>
      </c>
      <c r="Q80" s="97" cm="1">
        <f t="array" ref="Q80">_xlfn.IFNA(INDEX(نهایی!CW:CW,MATCH(D80,نهایی!B:B,0),0)/60,INDEX(نهایی!CW:CW,MATCH(C80,نهایی!B:B,0),0)/60)</f>
        <v>154.66666666666666</v>
      </c>
      <c r="R80" s="97" t="e">
        <f t="shared" si="20"/>
        <v>#N/A</v>
      </c>
      <c r="S80" s="161">
        <f>_xlfn.IFNA(INDEX(نهایی!CX:CX,MATCH(D80,نهایی!B:B,0)),INDEX(نهایی!CX:CX,MATCH(C80,نهایی!B:B,0)))</f>
        <v>147.82542976319718</v>
      </c>
      <c r="T80" s="96">
        <f t="shared" si="21"/>
        <v>6.8412369034694791</v>
      </c>
      <c r="U80" s="97" t="str">
        <f t="shared" si="22"/>
        <v/>
      </c>
      <c r="V80" s="96" t="e">
        <f t="shared" si="23"/>
        <v>#N/A</v>
      </c>
      <c r="W80" s="97" t="e">
        <f t="shared" si="24"/>
        <v>#N/A</v>
      </c>
      <c r="X80" s="96" t="e">
        <f t="shared" si="25"/>
        <v>#N/A</v>
      </c>
      <c r="Y80" s="94" t="e">
        <f t="shared" si="26"/>
        <v>#N/A</v>
      </c>
      <c r="Z80" s="27">
        <f>VLOOKUP(C80,نهایی!B:B,1,0)</f>
        <v>1063</v>
      </c>
      <c r="AA80" s="27" t="e">
        <f>VLOOKUP(D80,نهایی!B:B,1,0)</f>
        <v>#N/A</v>
      </c>
      <c r="AB80" s="171"/>
    </row>
    <row r="81" spans="1:28" s="62" customFormat="1" x14ac:dyDescent="0.25">
      <c r="A81" s="93" t="s">
        <v>535</v>
      </c>
      <c r="B81" s="93"/>
      <c r="C81" s="93">
        <v>767</v>
      </c>
      <c r="D81" s="100">
        <v>14641</v>
      </c>
      <c r="E81" s="93" t="s">
        <v>339</v>
      </c>
      <c r="F81" s="127"/>
      <c r="G81" s="98" t="str">
        <f>_xlfn.IFNA(_xlfn.XLOOKUP(D81,'کارکرد اداری'!$C$4:$C$204,'کارکرد اداری'!$N$4:$N$204,"0",0),_xlfn.XLOOKUP(C81,'کارکرد اداری'!$C$4:$C$204,'کارکرد اداری'!$N$4:$N$204,"0",0))</f>
        <v>0</v>
      </c>
      <c r="H81" s="98">
        <f>_xlfn.XLOOKUP(D81,'کارکرد اداری'!$C$4:$C$204,'کارکرد اداری'!$K$4:$K$204,0,1)</f>
        <v>0</v>
      </c>
      <c r="I81" s="98">
        <f>_xlfn.XLOOKUP(D81,'کارکرد اداری'!$C$4:$C$204,'کارکرد اداری'!$I$4:$I$204,0,1)</f>
        <v>0</v>
      </c>
      <c r="J81" s="164" t="e" cm="1">
        <f t="array" ref="J81">_xlfn.IFNA(INDEX('کارکرد اداری'!J:J,MATCH(C81,'کارکرد اداری'!B:B,0),0),INDEX('کارکرد اداری'!J:J,MATCH(D81,'کارکرد اداری'!C:C,0),0))</f>
        <v>#N/A</v>
      </c>
      <c r="K81" s="164" t="e" cm="1">
        <f t="array" ref="K81">_xlfn.IFNA(INDEX('کارکرد اداری'!R:R,MATCH(C81,'کارکرد اداری'!B:B,0),0),INDEX('کارکرد اداری'!R:R,MATCH(D81,'کارکرد اداری'!C:C,0),0))</f>
        <v>#N/A</v>
      </c>
      <c r="L81" s="164" t="e" cm="1">
        <f t="array" ref="L81">_xlfn.IFNA(INDEX('کارکرد اداری'!S:S,MATCH(C81,'کارکرد اداری'!B:B,0),0),INDEX('کارکرد اداری'!S:S,MATCH(D81,'کارکرد اداری'!C:C,0),0))</f>
        <v>#N/A</v>
      </c>
      <c r="M81" s="164" t="e" cm="1">
        <f t="array" ref="M81">_xlfn.IFNA(INDEX('کارکرد اداری'!P:P,MATCH(C81,'کارکرد اداری'!B:B,0),0),INDEX('کارکرد اداری'!P:P,MATCH(D81,'کارکرد اداری'!C:C,0),0))</f>
        <v>#N/A</v>
      </c>
      <c r="N81" s="164" t="e" cm="1">
        <f t="array" ref="N81">_xlfn.IFNA(INDEX('کارکرد اداری'!Q:Q,MATCH(C81,'کارکرد اداری'!B:B,0),0),INDEX('کارکرد اداری'!Q:Q,MATCH(D81,'کارکرد اداری'!C:C,0),0))</f>
        <v>#N/A</v>
      </c>
      <c r="O81" s="95" t="e">
        <f t="shared" si="18"/>
        <v>#N/A</v>
      </c>
      <c r="P81" s="96" t="e">
        <f t="shared" si="19"/>
        <v>#N/A</v>
      </c>
      <c r="Q81" s="97" cm="1">
        <f t="array" ref="Q81">_xlfn.IFNA(INDEX(نهایی!CW:CW,MATCH(D81,نهایی!B:B,0),0)/60,INDEX(نهایی!CW:CW,MATCH(C81,نهایی!B:B,0),0)/60)</f>
        <v>130.66666666666666</v>
      </c>
      <c r="R81" s="97" t="e">
        <f t="shared" si="20"/>
        <v>#N/A</v>
      </c>
      <c r="S81" s="161">
        <f>_xlfn.IFNA(INDEX(نهایی!CX:CX,MATCH(D81,نهایی!B:B,0)),INDEX(نهایی!CX:CX,MATCH(C81,نهایی!B:B,0)))</f>
        <v>111.318162231409</v>
      </c>
      <c r="T81" s="96">
        <f t="shared" si="21"/>
        <v>19.348504435257652</v>
      </c>
      <c r="U81" s="97" t="str">
        <f t="shared" si="22"/>
        <v/>
      </c>
      <c r="V81" s="96" t="e">
        <f t="shared" si="23"/>
        <v>#N/A</v>
      </c>
      <c r="W81" s="97" t="e">
        <f t="shared" si="24"/>
        <v>#N/A</v>
      </c>
      <c r="X81" s="96" t="e">
        <f t="shared" si="25"/>
        <v>#N/A</v>
      </c>
      <c r="Y81" s="94" t="e">
        <f t="shared" si="26"/>
        <v>#N/A</v>
      </c>
      <c r="Z81" s="27" t="e">
        <f>VLOOKUP(C81,نهایی!B:B,1,0)</f>
        <v>#N/A</v>
      </c>
      <c r="AA81" s="27">
        <f>VLOOKUP(D81,نهایی!B:B,1,0)</f>
        <v>14641</v>
      </c>
      <c r="AB81" s="171"/>
    </row>
    <row r="82" spans="1:28" s="62" customFormat="1" x14ac:dyDescent="0.25">
      <c r="A82" s="93"/>
      <c r="B82" s="93"/>
      <c r="C82" s="93">
        <f>_xlfn.XLOOKUP(D82,'کارکرد اداری'!$C$3:$C$106,'کارکرد اداری'!$B$3:$B$106,0,1)</f>
        <v>1095</v>
      </c>
      <c r="D82" s="100">
        <v>14888</v>
      </c>
      <c r="E82" s="93" t="s">
        <v>433</v>
      </c>
      <c r="F82" s="93"/>
      <c r="G82" s="98" t="str">
        <f>_xlfn.IFNA(_xlfn.XLOOKUP(D82,'کارکرد اداری'!$C$4:$C$204,'کارکرد اداری'!$N$4:$N$204,"0",0),_xlfn.XLOOKUP(C82,'کارکرد اداری'!$C$4:$C$204,'کارکرد اداری'!$N$4:$N$204,"0",0))</f>
        <v>0</v>
      </c>
      <c r="H82" s="98">
        <f>_xlfn.XLOOKUP(D82,'کارکرد اداری'!$C$4:$C$204,'کارکرد اداری'!$K$4:$K$204,0,1)</f>
        <v>0</v>
      </c>
      <c r="I82" s="98">
        <f>_xlfn.XLOOKUP(D82,'کارکرد اداری'!$C$4:$C$204,'کارکرد اداری'!$I$4:$I$204,0,1)</f>
        <v>0</v>
      </c>
      <c r="J82" s="164" t="e" cm="1">
        <f t="array" ref="J82">_xlfn.IFNA(INDEX('کارکرد اداری'!J:J,MATCH(C82,'کارکرد اداری'!B:B,0),0),INDEX('کارکرد اداری'!J:J,MATCH(D82,'کارکرد اداری'!C:C,0),0))</f>
        <v>#N/A</v>
      </c>
      <c r="K82" s="164" t="e" cm="1">
        <f t="array" ref="K82">_xlfn.IFNA(INDEX('کارکرد اداری'!R:R,MATCH(C82,'کارکرد اداری'!B:B,0),0),INDEX('کارکرد اداری'!R:R,MATCH(D82,'کارکرد اداری'!C:C,0),0))</f>
        <v>#N/A</v>
      </c>
      <c r="L82" s="164" t="e" cm="1">
        <f t="array" ref="L82">_xlfn.IFNA(INDEX('کارکرد اداری'!S:S,MATCH(C82,'کارکرد اداری'!B:B,0),0),INDEX('کارکرد اداری'!S:S,MATCH(D82,'کارکرد اداری'!C:C,0),0))</f>
        <v>#N/A</v>
      </c>
      <c r="M82" s="164" t="e" cm="1">
        <f t="array" ref="M82">_xlfn.IFNA(INDEX('کارکرد اداری'!P:P,MATCH(C82,'کارکرد اداری'!B:B,0),0),INDEX('کارکرد اداری'!P:P,MATCH(D82,'کارکرد اداری'!C:C,0),0))</f>
        <v>#N/A</v>
      </c>
      <c r="N82" s="164" t="e" cm="1">
        <f t="array" ref="N82">_xlfn.IFNA(INDEX('کارکرد اداری'!Q:Q,MATCH(C82,'کارکرد اداری'!B:B,0),0),INDEX('کارکرد اداری'!Q:Q,MATCH(D82,'کارکرد اداری'!C:C,0),0))</f>
        <v>#N/A</v>
      </c>
      <c r="O82" s="95" t="e">
        <f t="shared" si="18"/>
        <v>#N/A</v>
      </c>
      <c r="P82" s="96" t="e">
        <f t="shared" si="19"/>
        <v>#N/A</v>
      </c>
      <c r="Q82" s="97" cm="1">
        <f t="array" ref="Q82">_xlfn.IFNA(INDEX(نهایی!CW:CW,MATCH(D82,نهایی!B:B,0),0)/60,INDEX(نهایی!CW:CW,MATCH(C82,نهایی!B:B,0),0)/60)</f>
        <v>129.33333333333334</v>
      </c>
      <c r="R82" s="97" t="e">
        <f t="shared" si="20"/>
        <v>#N/A</v>
      </c>
      <c r="S82" s="161">
        <f>_xlfn.IFNA(INDEX(نهایی!CX:CX,MATCH(D82,نهایی!B:B,0)),INDEX(نهایی!CX:CX,MATCH(C82,نهایی!B:B,0)))</f>
        <v>114.32018759770713</v>
      </c>
      <c r="T82" s="96">
        <f t="shared" si="21"/>
        <v>15.01314573562621</v>
      </c>
      <c r="U82" s="97" t="str">
        <f t="shared" si="22"/>
        <v/>
      </c>
      <c r="V82" s="96" t="e">
        <f t="shared" si="23"/>
        <v>#N/A</v>
      </c>
      <c r="W82" s="97" t="e">
        <f t="shared" si="24"/>
        <v>#N/A</v>
      </c>
      <c r="X82" s="96" t="e">
        <f t="shared" si="25"/>
        <v>#N/A</v>
      </c>
      <c r="Y82" s="94" t="e">
        <f t="shared" si="26"/>
        <v>#N/A</v>
      </c>
      <c r="Z82" s="27">
        <f>VLOOKUP(C82,نهایی!B:B,1,0)</f>
        <v>1095</v>
      </c>
      <c r="AA82" s="27" t="e">
        <f>VLOOKUP(D82,نهایی!B:B,1,0)</f>
        <v>#N/A</v>
      </c>
      <c r="AB82" s="171"/>
    </row>
    <row r="83" spans="1:28" s="62" customFormat="1" x14ac:dyDescent="0.25">
      <c r="A83" s="93" t="s">
        <v>413</v>
      </c>
      <c r="B83" s="93"/>
      <c r="C83" s="93">
        <v>1182</v>
      </c>
      <c r="D83" s="100">
        <v>1182</v>
      </c>
      <c r="E83" s="93" t="s">
        <v>542</v>
      </c>
      <c r="F83" s="93"/>
      <c r="G83" s="98" t="e">
        <f>_xlfn.IFNA(_xlfn.XLOOKUP(D83,'کارکرد اداری'!$C$4:$C$204,'کارکرد اداری'!$N$4:$N$204,"0",0),_xlfn.XLOOKUP(C83,'کارکرد اداری'!$C$4:$C$204,'کارکرد اداری'!$N$4:$N$204,"0",0))</f>
        <v>#N/A</v>
      </c>
      <c r="H83" s="98">
        <f>_xlfn.XLOOKUP(D83,'کارکرد اداری'!$C$4:$C$204,'کارکرد اداری'!$K$4:$K$204,0,1)</f>
        <v>0</v>
      </c>
      <c r="I83" s="98">
        <f>_xlfn.XLOOKUP(D83,'کارکرد اداری'!$C$4:$C$204,'کارکرد اداری'!$I$4:$I$204,0,1)</f>
        <v>0</v>
      </c>
      <c r="J83" s="164" t="e" cm="1">
        <f t="array" ref="J83">_xlfn.IFNA(INDEX('کارکرد اداری'!J:J,MATCH(C83,'کارکرد اداری'!B:B,0),0),INDEX('کارکرد اداری'!J:J,MATCH(D83,'کارکرد اداری'!C:C,0),0))</f>
        <v>#N/A</v>
      </c>
      <c r="K83" s="164" t="e" cm="1">
        <f t="array" ref="K83">_xlfn.IFNA(INDEX('کارکرد اداری'!R:R,MATCH(C83,'کارکرد اداری'!B:B,0),0),INDEX('کارکرد اداری'!R:R,MATCH(D83,'کارکرد اداری'!C:C,0),0))</f>
        <v>#N/A</v>
      </c>
      <c r="L83" s="164" t="e" cm="1">
        <f t="array" ref="L83">_xlfn.IFNA(INDEX('کارکرد اداری'!S:S,MATCH(C83,'کارکرد اداری'!B:B,0),0),INDEX('کارکرد اداری'!S:S,MATCH(D83,'کارکرد اداری'!C:C,0),0))</f>
        <v>#N/A</v>
      </c>
      <c r="M83" s="164" t="e" cm="1">
        <f t="array" ref="M83">_xlfn.IFNA(INDEX('کارکرد اداری'!P:P,MATCH(C83,'کارکرد اداری'!B:B,0),0),INDEX('کارکرد اداری'!P:P,MATCH(D83,'کارکرد اداری'!C:C,0),0))</f>
        <v>#N/A</v>
      </c>
      <c r="N83" s="164" t="e" cm="1">
        <f t="array" ref="N83">_xlfn.IFNA(INDEX('کارکرد اداری'!Q:Q,MATCH(C83,'کارکرد اداری'!B:B,0),0),INDEX('کارکرد اداری'!Q:Q,MATCH(D83,'کارکرد اداری'!C:C,0),0))</f>
        <v>#N/A</v>
      </c>
      <c r="O83" s="100" t="e">
        <f t="shared" si="18"/>
        <v>#N/A</v>
      </c>
      <c r="P83" s="96" t="e">
        <f t="shared" si="19"/>
        <v>#N/A</v>
      </c>
      <c r="Q83" s="97" cm="1">
        <f t="array" ref="Q83">_xlfn.IFNA(INDEX(نهایی!CW:CW,MATCH(D83,نهایی!B:B,0),0)/60,INDEX(نهایی!CW:CW,MATCH(C83,نهایی!B:B,0),0)/60)</f>
        <v>134.16666666666666</v>
      </c>
      <c r="R83" s="97" t="e">
        <f t="shared" si="20"/>
        <v>#N/A</v>
      </c>
      <c r="S83" s="161">
        <f>_xlfn.IFNA(INDEX(نهایی!CX:CX,MATCH(D83,نهایی!B:B,0)),INDEX(نهایی!CX:CX,MATCH(C83,نهایی!B:B,0)))+9</f>
        <v>126.24568942366903</v>
      </c>
      <c r="T83" s="96">
        <f t="shared" si="21"/>
        <v>7.9209772429976226</v>
      </c>
      <c r="U83" s="97" t="str">
        <f t="shared" si="22"/>
        <v/>
      </c>
      <c r="V83" s="96" t="e">
        <f t="shared" si="23"/>
        <v>#N/A</v>
      </c>
      <c r="W83" s="97" t="e">
        <f t="shared" si="24"/>
        <v>#N/A</v>
      </c>
      <c r="X83" s="96" t="e">
        <f t="shared" si="25"/>
        <v>#N/A</v>
      </c>
      <c r="Y83" s="94" t="e">
        <f t="shared" si="26"/>
        <v>#N/A</v>
      </c>
      <c r="Z83" s="27">
        <f>VLOOKUP(C83,نهایی!B:B,1,0)</f>
        <v>1182</v>
      </c>
      <c r="AA83" s="27">
        <f>VLOOKUP(D83,نهایی!B:B,1,0)</f>
        <v>1182</v>
      </c>
      <c r="AB83" s="171" t="s">
        <v>591</v>
      </c>
    </row>
    <row r="84" spans="1:28" s="62" customFormat="1" x14ac:dyDescent="0.25">
      <c r="A84" s="93" t="s">
        <v>413</v>
      </c>
      <c r="B84" s="93"/>
      <c r="C84" s="93">
        <v>1170</v>
      </c>
      <c r="D84" s="100">
        <v>1170</v>
      </c>
      <c r="E84" s="93" t="s">
        <v>539</v>
      </c>
      <c r="F84" s="93"/>
      <c r="G84" s="98" t="e">
        <f>_xlfn.IFNA(_xlfn.XLOOKUP(D84,'کارکرد اداری'!$C$4:$C$204,'کارکرد اداری'!$N$4:$N$204,"0",0),_xlfn.XLOOKUP(C84,'کارکرد اداری'!$C$4:$C$204,'کارکرد اداری'!$N$4:$N$204,"0",0))</f>
        <v>#N/A</v>
      </c>
      <c r="H84" s="98">
        <f>_xlfn.XLOOKUP(D84,'کارکرد اداری'!$C$4:$C$204,'کارکرد اداری'!$K$4:$K$204,0,1)</f>
        <v>0</v>
      </c>
      <c r="I84" s="98">
        <f>_xlfn.XLOOKUP(D84,'کارکرد اداری'!$C$4:$C$204,'کارکرد اداری'!$I$4:$I$204,0,1)</f>
        <v>0</v>
      </c>
      <c r="J84" s="164" t="e" cm="1">
        <f t="array" ref="J84">_xlfn.IFNA(INDEX('کارکرد اداری'!J:J,MATCH(C84,'کارکرد اداری'!B:B,0),0),INDEX('کارکرد اداری'!J:J,MATCH(D84,'کارکرد اداری'!C:C,0),0))</f>
        <v>#N/A</v>
      </c>
      <c r="K84" s="164" t="e" cm="1">
        <f t="array" ref="K84">_xlfn.IFNA(INDEX('کارکرد اداری'!R:R,MATCH(C84,'کارکرد اداری'!B:B,0),0),INDEX('کارکرد اداری'!R:R,MATCH(D84,'کارکرد اداری'!C:C,0),0))</f>
        <v>#N/A</v>
      </c>
      <c r="L84" s="164" t="e" cm="1">
        <f t="array" ref="L84">_xlfn.IFNA(INDEX('کارکرد اداری'!S:S,MATCH(C84,'کارکرد اداری'!B:B,0),0),INDEX('کارکرد اداری'!S:S,MATCH(D84,'کارکرد اداری'!C:C,0),0))</f>
        <v>#N/A</v>
      </c>
      <c r="M84" s="164" t="e" cm="1">
        <f t="array" ref="M84">_xlfn.IFNA(INDEX('کارکرد اداری'!P:P,MATCH(C84,'کارکرد اداری'!B:B,0),0),INDEX('کارکرد اداری'!P:P,MATCH(D84,'کارکرد اداری'!C:C,0),0))</f>
        <v>#N/A</v>
      </c>
      <c r="N84" s="164" t="e" cm="1">
        <f t="array" ref="N84">_xlfn.IFNA(INDEX('کارکرد اداری'!Q:Q,MATCH(C84,'کارکرد اداری'!B:B,0),0),INDEX('کارکرد اداری'!Q:Q,MATCH(D84,'کارکرد اداری'!C:C,0),0))</f>
        <v>#N/A</v>
      </c>
      <c r="O84" s="100" t="e">
        <f t="shared" si="18"/>
        <v>#N/A</v>
      </c>
      <c r="P84" s="96" t="e">
        <f t="shared" si="19"/>
        <v>#N/A</v>
      </c>
      <c r="Q84" s="97" cm="1">
        <f t="array" ref="Q84">_xlfn.IFNA(INDEX(نهایی!CW:CW,MATCH(D84,نهایی!B:B,0),0)/60,INDEX(نهایی!CW:CW,MATCH(C84,نهایی!B:B,0),0)/60)</f>
        <v>161.33333333333334</v>
      </c>
      <c r="R84" s="97" t="e">
        <f t="shared" si="20"/>
        <v>#N/A</v>
      </c>
      <c r="S84" s="161">
        <f>_xlfn.IFNA(INDEX(نهایی!CX:CX,MATCH(D84,نهایی!B:B,0)),INDEX(نهایی!CX:CX,MATCH(C84,نهایی!B:B,0)))+61</f>
        <v>143.13127181032448</v>
      </c>
      <c r="T84" s="96">
        <f t="shared" si="21"/>
        <v>18.202061523008865</v>
      </c>
      <c r="U84" s="97" t="str">
        <f t="shared" si="22"/>
        <v/>
      </c>
      <c r="V84" s="96" t="e">
        <f t="shared" si="23"/>
        <v>#N/A</v>
      </c>
      <c r="W84" s="97" t="e">
        <f t="shared" si="24"/>
        <v>#N/A</v>
      </c>
      <c r="X84" s="96" t="e">
        <f t="shared" si="25"/>
        <v>#N/A</v>
      </c>
      <c r="Y84" s="94" t="e">
        <f t="shared" si="26"/>
        <v>#N/A</v>
      </c>
      <c r="Z84" s="27">
        <f>VLOOKUP(C84,نهایی!B:B,1,0)</f>
        <v>1170</v>
      </c>
      <c r="AA84" s="27">
        <f>VLOOKUP(D84,نهایی!B:B,1,0)</f>
        <v>1170</v>
      </c>
      <c r="AB84" s="171" t="s">
        <v>591</v>
      </c>
    </row>
    <row r="85" spans="1:28" s="62" customFormat="1" x14ac:dyDescent="0.25">
      <c r="A85" s="93" t="s">
        <v>413</v>
      </c>
      <c r="B85" s="93"/>
      <c r="C85" s="93">
        <v>1193</v>
      </c>
      <c r="D85" s="100">
        <v>1193</v>
      </c>
      <c r="E85" s="93" t="s">
        <v>572</v>
      </c>
      <c r="F85" s="93"/>
      <c r="G85" s="98" t="e">
        <f>_xlfn.IFNA(_xlfn.XLOOKUP(D85,'کارکرد اداری'!$C$4:$C$204,'کارکرد اداری'!$N$4:$N$204,"0",0),_xlfn.XLOOKUP(C85,'کارکرد اداری'!$C$4:$C$204,'کارکرد اداری'!$N$4:$N$204,"0",0))</f>
        <v>#N/A</v>
      </c>
      <c r="H85" s="98">
        <f>_xlfn.XLOOKUP(D85,'کارکرد اداری'!$C$4:$C$204,'کارکرد اداری'!$K$4:$K$204,0,1)</f>
        <v>0</v>
      </c>
      <c r="I85" s="98">
        <f>_xlfn.XLOOKUP(D85,'کارکرد اداری'!$C$4:$C$204,'کارکرد اداری'!$I$4:$I$204,0,1)</f>
        <v>0</v>
      </c>
      <c r="J85" s="164" t="e" cm="1">
        <f t="array" ref="J85">_xlfn.IFNA(INDEX('کارکرد اداری'!J:J,MATCH(C85,'کارکرد اداری'!B:B,0),0),INDEX('کارکرد اداری'!J:J,MATCH(D85,'کارکرد اداری'!C:C,0),0))</f>
        <v>#N/A</v>
      </c>
      <c r="K85" s="164" t="e" cm="1">
        <f t="array" ref="K85">_xlfn.IFNA(INDEX('کارکرد اداری'!R:R,MATCH(C85,'کارکرد اداری'!B:B,0),0),INDEX('کارکرد اداری'!R:R,MATCH(D85,'کارکرد اداری'!C:C,0),0))</f>
        <v>#N/A</v>
      </c>
      <c r="L85" s="164" t="e" cm="1">
        <f t="array" ref="L85">_xlfn.IFNA(INDEX('کارکرد اداری'!S:S,MATCH(C85,'کارکرد اداری'!B:B,0),0),INDEX('کارکرد اداری'!S:S,MATCH(D85,'کارکرد اداری'!C:C,0),0))</f>
        <v>#N/A</v>
      </c>
      <c r="M85" s="164" t="e" cm="1">
        <f t="array" ref="M85">_xlfn.IFNA(INDEX('کارکرد اداری'!P:P,MATCH(C85,'کارکرد اداری'!B:B,0),0),INDEX('کارکرد اداری'!P:P,MATCH(D85,'کارکرد اداری'!C:C,0),0))</f>
        <v>#N/A</v>
      </c>
      <c r="N85" s="164" t="e" cm="1">
        <f t="array" ref="N85">_xlfn.IFNA(INDEX('کارکرد اداری'!Q:Q,MATCH(C85,'کارکرد اداری'!B:B,0),0),INDEX('کارکرد اداری'!Q:Q,MATCH(D85,'کارکرد اداری'!C:C,0),0))</f>
        <v>#N/A</v>
      </c>
      <c r="O85" s="100" t="e">
        <f>$F$1-$M$1-G85-H85-I85-J85-10</f>
        <v>#N/A</v>
      </c>
      <c r="P85" s="101" t="e">
        <f t="shared" si="19"/>
        <v>#N/A</v>
      </c>
      <c r="Q85" s="97" cm="1">
        <f t="array" ref="Q85">_xlfn.IFNA(INDEX(نهایی!CW:CW,MATCH(D85,نهایی!B:B,0),0)/60,INDEX(نهایی!CW:CW,MATCH(C85,نهایی!B:B,0),0)/60)</f>
        <v>108.16666666666667</v>
      </c>
      <c r="R85" s="97" t="e">
        <f t="shared" si="20"/>
        <v>#N/A</v>
      </c>
      <c r="S85" s="161">
        <f>_xlfn.IFNA(INDEX(نهایی!CX:CX,MATCH(D85,نهایی!B:B,0)),INDEX(نهایی!CX:CX,MATCH(C85,نهایی!B:B,0)))+50</f>
        <v>96.68217054263566</v>
      </c>
      <c r="T85" s="96">
        <f t="shared" si="21"/>
        <v>11.484496124031011</v>
      </c>
      <c r="U85" s="97" t="str">
        <f t="shared" si="22"/>
        <v/>
      </c>
      <c r="V85" s="96" t="e">
        <f t="shared" si="23"/>
        <v>#N/A</v>
      </c>
      <c r="W85" s="97" t="e">
        <f t="shared" si="24"/>
        <v>#N/A</v>
      </c>
      <c r="X85" s="96" t="e">
        <f t="shared" si="25"/>
        <v>#N/A</v>
      </c>
      <c r="Y85" s="94" t="e">
        <f t="shared" si="26"/>
        <v>#N/A</v>
      </c>
      <c r="Z85" s="27">
        <f>VLOOKUP(C85,نهایی!B:B,1,0)</f>
        <v>1193</v>
      </c>
      <c r="AA85" s="27">
        <f>VLOOKUP(D85,نهایی!B:B,1,0)</f>
        <v>1193</v>
      </c>
      <c r="AB85" s="171" t="s">
        <v>591</v>
      </c>
    </row>
    <row r="86" spans="1:28" s="62" customFormat="1" x14ac:dyDescent="0.25">
      <c r="A86" s="93" t="s">
        <v>413</v>
      </c>
      <c r="B86" s="93"/>
      <c r="C86" s="93">
        <v>1192</v>
      </c>
      <c r="D86" s="100">
        <v>1192</v>
      </c>
      <c r="E86" s="93" t="s">
        <v>571</v>
      </c>
      <c r="F86" s="93"/>
      <c r="G86" s="98" t="e">
        <f>_xlfn.IFNA(_xlfn.XLOOKUP(D86,'کارکرد اداری'!$C$4:$C$204,'کارکرد اداری'!$N$4:$N$204,"0",0),_xlfn.XLOOKUP(C86,'کارکرد اداری'!$C$4:$C$204,'کارکرد اداری'!$N$4:$N$204,"0",0))</f>
        <v>#N/A</v>
      </c>
      <c r="H86" s="98">
        <f>_xlfn.XLOOKUP(D86,'کارکرد اداری'!$C$4:$C$204,'کارکرد اداری'!$K$4:$K$204,0,1)</f>
        <v>0</v>
      </c>
      <c r="I86" s="98">
        <f>_xlfn.XLOOKUP(D86,'کارکرد اداری'!$C$4:$C$204,'کارکرد اداری'!$I$4:$I$204,0,1)</f>
        <v>0</v>
      </c>
      <c r="J86" s="164" t="e" cm="1">
        <f t="array" ref="J86">_xlfn.IFNA(INDEX('کارکرد اداری'!J:J,MATCH(C86,'کارکرد اداری'!B:B,0),0),INDEX('کارکرد اداری'!J:J,MATCH(D86,'کارکرد اداری'!C:C,0),0))</f>
        <v>#N/A</v>
      </c>
      <c r="K86" s="164" t="e" cm="1">
        <f t="array" ref="K86">_xlfn.IFNA(INDEX('کارکرد اداری'!R:R,MATCH(C86,'کارکرد اداری'!B:B,0),0),INDEX('کارکرد اداری'!R:R,MATCH(D86,'کارکرد اداری'!C:C,0),0))</f>
        <v>#N/A</v>
      </c>
      <c r="L86" s="164" t="e" cm="1">
        <f t="array" ref="L86">_xlfn.IFNA(INDEX('کارکرد اداری'!S:S,MATCH(C86,'کارکرد اداری'!B:B,0),0),INDEX('کارکرد اداری'!S:S,MATCH(D86,'کارکرد اداری'!C:C,0),0))</f>
        <v>#N/A</v>
      </c>
      <c r="M86" s="164" t="e" cm="1">
        <f t="array" ref="M86">_xlfn.IFNA(INDEX('کارکرد اداری'!P:P,MATCH(C86,'کارکرد اداری'!B:B,0),0),INDEX('کارکرد اداری'!P:P,MATCH(D86,'کارکرد اداری'!C:C,0),0))</f>
        <v>#N/A</v>
      </c>
      <c r="N86" s="164" t="e" cm="1">
        <f t="array" ref="N86">_xlfn.IFNA(INDEX('کارکرد اداری'!Q:Q,MATCH(C86,'کارکرد اداری'!B:B,0),0),INDEX('کارکرد اداری'!Q:Q,MATCH(D86,'کارکرد اداری'!C:C,0),0))</f>
        <v>#N/A</v>
      </c>
      <c r="O86" s="100" t="e">
        <f>$F$1-$M$1-G86-H86-I86-J86-11</f>
        <v>#N/A</v>
      </c>
      <c r="P86" s="96" t="e">
        <f t="shared" si="19"/>
        <v>#N/A</v>
      </c>
      <c r="Q86" s="97" cm="1">
        <f t="array" ref="Q86">_xlfn.IFNA(INDEX(نهایی!CW:CW,MATCH(D86,نهایی!B:B,0),0)/60,INDEX(نهایی!CW:CW,MATCH(C86,نهایی!B:B,0),0)/60)</f>
        <v>100.33333333333333</v>
      </c>
      <c r="R86" s="97" t="e">
        <f t="shared" si="20"/>
        <v>#N/A</v>
      </c>
      <c r="S86" s="161">
        <f>_xlfn.IFNA(INDEX(نهایی!CX:CX,MATCH(D86,نهایی!B:B,0)),INDEX(نهایی!CX:CX,MATCH(C86,نهایی!B:B,0)))+50</f>
        <v>90.279069767441854</v>
      </c>
      <c r="T86" s="96">
        <f t="shared" si="21"/>
        <v>10.054263565891475</v>
      </c>
      <c r="U86" s="97" t="str">
        <f t="shared" si="22"/>
        <v/>
      </c>
      <c r="V86" s="96" t="e">
        <f t="shared" si="23"/>
        <v>#N/A</v>
      </c>
      <c r="W86" s="97" t="e">
        <f t="shared" si="24"/>
        <v>#N/A</v>
      </c>
      <c r="X86" s="96" t="e">
        <f t="shared" si="25"/>
        <v>#N/A</v>
      </c>
      <c r="Y86" s="94" t="e">
        <f t="shared" si="26"/>
        <v>#N/A</v>
      </c>
      <c r="Z86" s="27">
        <f>VLOOKUP(C86,نهایی!B:B,1,0)</f>
        <v>1192</v>
      </c>
      <c r="AA86" s="27">
        <f>VLOOKUP(D86,نهایی!B:B,1,0)</f>
        <v>1192</v>
      </c>
      <c r="AB86" s="171" t="s">
        <v>591</v>
      </c>
    </row>
    <row r="87" spans="1:28" s="62" customFormat="1" x14ac:dyDescent="0.25">
      <c r="A87" s="93" t="s">
        <v>413</v>
      </c>
      <c r="B87" s="93"/>
      <c r="C87" s="93">
        <v>1180</v>
      </c>
      <c r="D87" s="100">
        <v>1180</v>
      </c>
      <c r="E87" s="93" t="s">
        <v>541</v>
      </c>
      <c r="F87" s="93"/>
      <c r="G87" s="98" t="e">
        <f>_xlfn.IFNA(_xlfn.XLOOKUP(D87,'کارکرد اداری'!$C$4:$C$204,'کارکرد اداری'!$N$4:$N$204,"0",0),_xlfn.XLOOKUP(C87,'کارکرد اداری'!$C$4:$C$204,'کارکرد اداری'!$N$4:$N$204,"0",0))</f>
        <v>#N/A</v>
      </c>
      <c r="H87" s="98">
        <f>_xlfn.XLOOKUP(D87,'کارکرد اداری'!$C$4:$C$204,'کارکرد اداری'!$K$4:$K$204,0,1)</f>
        <v>0</v>
      </c>
      <c r="I87" s="98">
        <f>_xlfn.XLOOKUP(D87,'کارکرد اداری'!$C$4:$C$204,'کارکرد اداری'!$I$4:$I$204,0,1)</f>
        <v>0</v>
      </c>
      <c r="J87" s="164" t="e" cm="1">
        <f t="array" ref="J87">_xlfn.IFNA(INDEX('کارکرد اداری'!J:J,MATCH(C87,'کارکرد اداری'!B:B,0),0),INDEX('کارکرد اداری'!J:J,MATCH(D87,'کارکرد اداری'!C:C,0),0))</f>
        <v>#N/A</v>
      </c>
      <c r="K87" s="164" t="e" cm="1">
        <f t="array" ref="K87">_xlfn.IFNA(INDEX('کارکرد اداری'!R:R,MATCH(C87,'کارکرد اداری'!B:B,0),0),INDEX('کارکرد اداری'!R:R,MATCH(D87,'کارکرد اداری'!C:C,0),0))</f>
        <v>#N/A</v>
      </c>
      <c r="L87" s="164" t="e" cm="1">
        <f t="array" ref="L87">_xlfn.IFNA(INDEX('کارکرد اداری'!S:S,MATCH(C87,'کارکرد اداری'!B:B,0),0),INDEX('کارکرد اداری'!S:S,MATCH(D87,'کارکرد اداری'!C:C,0),0))</f>
        <v>#N/A</v>
      </c>
      <c r="M87" s="164" t="e" cm="1">
        <f t="array" ref="M87">_xlfn.IFNA(INDEX('کارکرد اداری'!P:P,MATCH(C87,'کارکرد اداری'!B:B,0),0),INDEX('کارکرد اداری'!P:P,MATCH(D87,'کارکرد اداری'!C:C,0),0))</f>
        <v>#N/A</v>
      </c>
      <c r="N87" s="164" t="e" cm="1">
        <f t="array" ref="N87">_xlfn.IFNA(INDEX('کارکرد اداری'!Q:Q,MATCH(C87,'کارکرد اداری'!B:B,0),0),INDEX('کارکرد اداری'!Q:Q,MATCH(D87,'کارکرد اداری'!C:C,0),0))</f>
        <v>#N/A</v>
      </c>
      <c r="O87" s="100" t="e">
        <f>$F$1-$M$1-G87-H87-I87-J87</f>
        <v>#N/A</v>
      </c>
      <c r="P87" s="96" t="e">
        <f t="shared" si="19"/>
        <v>#N/A</v>
      </c>
      <c r="Q87" s="97" cm="1">
        <f t="array" ref="Q87">_xlfn.IFNA(INDEX(نهایی!CW:CW,MATCH(D87,نهایی!B:B,0),0)/60,INDEX(نهایی!CW:CW,MATCH(C87,نهایی!B:B,0),0)/60)</f>
        <v>151.66666666666666</v>
      </c>
      <c r="R87" s="97" t="e">
        <f t="shared" si="20"/>
        <v>#N/A</v>
      </c>
      <c r="S87" s="161">
        <f>_xlfn.IFNA(INDEX(نهایی!CX:CX,MATCH(D87,نهایی!B:B,0)),INDEX(نهایی!CX:CX,MATCH(C87,نهایی!B:B,0)))+37</f>
        <v>142.94818846718624</v>
      </c>
      <c r="T87" s="96">
        <f t="shared" si="21"/>
        <v>8.7184781994804155</v>
      </c>
      <c r="U87" s="97" t="str">
        <f t="shared" si="22"/>
        <v/>
      </c>
      <c r="V87" s="96" t="e">
        <f t="shared" si="23"/>
        <v>#N/A</v>
      </c>
      <c r="W87" s="97" t="e">
        <f t="shared" si="24"/>
        <v>#N/A</v>
      </c>
      <c r="X87" s="96" t="e">
        <f t="shared" si="25"/>
        <v>#N/A</v>
      </c>
      <c r="Y87" s="94" t="e">
        <f t="shared" si="26"/>
        <v>#N/A</v>
      </c>
      <c r="Z87" s="27">
        <f>VLOOKUP(C87,نهایی!B:B,1,0)</f>
        <v>1180</v>
      </c>
      <c r="AA87" s="27">
        <f>VLOOKUP(D87,نهایی!B:B,1,0)</f>
        <v>1180</v>
      </c>
      <c r="AB87" s="171" t="s">
        <v>591</v>
      </c>
    </row>
    <row r="88" spans="1:28" s="62" customFormat="1" x14ac:dyDescent="0.25">
      <c r="A88" s="93" t="s">
        <v>413</v>
      </c>
      <c r="B88" s="93"/>
      <c r="C88" s="93">
        <v>1171</v>
      </c>
      <c r="D88" s="100">
        <v>1171</v>
      </c>
      <c r="E88" s="93" t="s">
        <v>502</v>
      </c>
      <c r="F88" s="127"/>
      <c r="G88" s="98" t="e">
        <f>_xlfn.IFNA(_xlfn.XLOOKUP(D88,'کارکرد اداری'!$C$4:$C$204,'کارکرد اداری'!$N$4:$N$204,"0",0),_xlfn.XLOOKUP(C88,'کارکرد اداری'!$C$4:$C$204,'کارکرد اداری'!$N$4:$N$204,"0",0))</f>
        <v>#N/A</v>
      </c>
      <c r="H88" s="98">
        <f>_xlfn.XLOOKUP(D88,'کارکرد اداری'!$C$4:$C$204,'کارکرد اداری'!$K$4:$K$204,0,1)</f>
        <v>0</v>
      </c>
      <c r="I88" s="98">
        <f>_xlfn.XLOOKUP(D88,'کارکرد اداری'!$C$4:$C$204,'کارکرد اداری'!$I$4:$I$204,0,1)</f>
        <v>0</v>
      </c>
      <c r="J88" s="164" t="e" cm="1">
        <f t="array" ref="J88">_xlfn.IFNA(INDEX('کارکرد اداری'!J:J,MATCH(C88,'کارکرد اداری'!B:B,0),0),INDEX('کارکرد اداری'!J:J,MATCH(D88,'کارکرد اداری'!C:C,0),0))</f>
        <v>#N/A</v>
      </c>
      <c r="K88" s="164" t="e" cm="1">
        <f t="array" ref="K88">_xlfn.IFNA(INDEX('کارکرد اداری'!R:R,MATCH(C88,'کارکرد اداری'!B:B,0),0),INDEX('کارکرد اداری'!R:R,MATCH(D88,'کارکرد اداری'!C:C,0),0))</f>
        <v>#N/A</v>
      </c>
      <c r="L88" s="164" t="e" cm="1">
        <f t="array" ref="L88">_xlfn.IFNA(INDEX('کارکرد اداری'!S:S,MATCH(C88,'کارکرد اداری'!B:B,0),0),INDEX('کارکرد اداری'!S:S,MATCH(D88,'کارکرد اداری'!C:C,0),0))</f>
        <v>#N/A</v>
      </c>
      <c r="M88" s="164" t="e" cm="1">
        <f t="array" ref="M88">_xlfn.IFNA(INDEX('کارکرد اداری'!P:P,MATCH(C88,'کارکرد اداری'!B:B,0),0),INDEX('کارکرد اداری'!P:P,MATCH(D88,'کارکرد اداری'!C:C,0),0))</f>
        <v>#N/A</v>
      </c>
      <c r="N88" s="164" t="e" cm="1">
        <f t="array" ref="N88">_xlfn.IFNA(INDEX('کارکرد اداری'!Q:Q,MATCH(C88,'کارکرد اداری'!B:B,0),0),INDEX('کارکرد اداری'!Q:Q,MATCH(D88,'کارکرد اداری'!C:C,0),0))</f>
        <v>#N/A</v>
      </c>
      <c r="O88" s="95" t="e">
        <f>$F$1-$M$1-G88-H88-I88-J88</f>
        <v>#N/A</v>
      </c>
      <c r="P88" s="96" t="e">
        <f t="shared" si="19"/>
        <v>#N/A</v>
      </c>
      <c r="Q88" s="97" cm="1">
        <f t="array" ref="Q88">_xlfn.IFNA(INDEX(نهایی!CW:CW,MATCH(D88,نهایی!B:B,0),0)/60,INDEX(نهایی!CW:CW,MATCH(C88,نهایی!B:B,0),0)/60)</f>
        <v>153.33333333333334</v>
      </c>
      <c r="R88" s="97" t="e">
        <f t="shared" si="20"/>
        <v>#N/A</v>
      </c>
      <c r="S88" s="161">
        <f>_xlfn.IFNA(INDEX(نهایی!CX:CX,MATCH(D88,نهایی!B:B,0)),INDEX(نهایی!CX:CX,MATCH(C88,نهایی!B:B,0)))+40</f>
        <v>126.22710986215132</v>
      </c>
      <c r="T88" s="96">
        <f t="shared" si="21"/>
        <v>27.10622347118202</v>
      </c>
      <c r="U88" s="97" t="str">
        <f t="shared" si="22"/>
        <v/>
      </c>
      <c r="V88" s="96" t="e">
        <f t="shared" si="23"/>
        <v>#N/A</v>
      </c>
      <c r="W88" s="97" t="e">
        <f t="shared" si="24"/>
        <v>#N/A</v>
      </c>
      <c r="X88" s="96" t="e">
        <f t="shared" si="25"/>
        <v>#N/A</v>
      </c>
      <c r="Y88" s="94" t="e">
        <f t="shared" si="26"/>
        <v>#N/A</v>
      </c>
      <c r="Z88" s="27">
        <f>VLOOKUP(C88,نهایی!B:B,1,0)</f>
        <v>1171</v>
      </c>
      <c r="AA88" s="27">
        <f>VLOOKUP(D88,نهایی!B:B,1,0)</f>
        <v>1171</v>
      </c>
      <c r="AB88" s="171" t="s">
        <v>591</v>
      </c>
    </row>
    <row r="89" spans="1:28" x14ac:dyDescent="0.25">
      <c r="A89" s="93" t="s">
        <v>413</v>
      </c>
      <c r="B89" s="93"/>
      <c r="C89" s="93">
        <v>1190</v>
      </c>
      <c r="D89" s="100">
        <v>1190</v>
      </c>
      <c r="E89" s="93" t="s">
        <v>545</v>
      </c>
      <c r="F89" s="93"/>
      <c r="G89" s="98" t="e">
        <f>_xlfn.IFNA(_xlfn.XLOOKUP(D89,'کارکرد اداری'!$C$4:$C$204,'کارکرد اداری'!$N$4:$N$204,"0",0),_xlfn.XLOOKUP(C89,'کارکرد اداری'!$C$4:$C$204,'کارکرد اداری'!$N$4:$N$204,"0",0))</f>
        <v>#N/A</v>
      </c>
      <c r="H89" s="98">
        <f>_xlfn.XLOOKUP(D89,'کارکرد اداری'!$C$4:$C$204,'کارکرد اداری'!$K$4:$K$204,0,1)</f>
        <v>0</v>
      </c>
      <c r="I89" s="98">
        <f>_xlfn.XLOOKUP(D89,'کارکرد اداری'!$C$4:$C$204,'کارکرد اداری'!$I$4:$I$204,0,1)</f>
        <v>0</v>
      </c>
      <c r="J89" s="164" t="e" cm="1">
        <f t="array" ref="J89">_xlfn.IFNA(INDEX('کارکرد اداری'!J:J,MATCH(C89,'کارکرد اداری'!B:B,0),0),INDEX('کارکرد اداری'!J:J,MATCH(D89,'کارکرد اداری'!C:C,0),0))</f>
        <v>#N/A</v>
      </c>
      <c r="K89" s="164" t="e" cm="1">
        <f t="array" ref="K89">_xlfn.IFNA(INDEX('کارکرد اداری'!R:R,MATCH(C89,'کارکرد اداری'!B:B,0),0),INDEX('کارکرد اداری'!R:R,MATCH(D89,'کارکرد اداری'!C:C,0),0))</f>
        <v>#N/A</v>
      </c>
      <c r="L89" s="164" t="e" cm="1">
        <f t="array" ref="L89">_xlfn.IFNA(INDEX('کارکرد اداری'!S:S,MATCH(C89,'کارکرد اداری'!B:B,0),0),INDEX('کارکرد اداری'!S:S,MATCH(D89,'کارکرد اداری'!C:C,0),0))</f>
        <v>#N/A</v>
      </c>
      <c r="M89" s="164" t="e" cm="1">
        <f t="array" ref="M89">_xlfn.IFNA(INDEX('کارکرد اداری'!P:P,MATCH(C89,'کارکرد اداری'!B:B,0),0),INDEX('کارکرد اداری'!P:P,MATCH(D89,'کارکرد اداری'!C:C,0),0))</f>
        <v>#N/A</v>
      </c>
      <c r="N89" s="164" t="e" cm="1">
        <f t="array" ref="N89">_xlfn.IFNA(INDEX('کارکرد اداری'!Q:Q,MATCH(C89,'کارکرد اداری'!B:B,0),0),INDEX('کارکرد اداری'!Q:Q,MATCH(D89,'کارکرد اداری'!C:C,0),0))</f>
        <v>#N/A</v>
      </c>
      <c r="O89" s="100" t="e">
        <f>$F$1-$M$1-G89-H89-I89-J89</f>
        <v>#N/A</v>
      </c>
      <c r="P89" s="96" t="e">
        <f t="shared" si="19"/>
        <v>#N/A</v>
      </c>
      <c r="Q89" s="97" cm="1">
        <f t="array" ref="Q89">_xlfn.IFNA(INDEX(نهایی!CW:CW,MATCH(D89,نهایی!B:B,0),0)/60,INDEX(نهایی!CW:CW,MATCH(C89,نهایی!B:B,0),0)/60)</f>
        <v>142.66666666666666</v>
      </c>
      <c r="R89" s="97" t="e">
        <f t="shared" si="20"/>
        <v>#N/A</v>
      </c>
      <c r="S89" s="161">
        <f>_xlfn.IFNA(INDEX(نهایی!CX:CX,MATCH(D89,نهایی!B:B,0)),INDEX(نهایی!CX:CX,MATCH(C89,نهایی!B:B,0)))+24</f>
        <v>123.62612556212093</v>
      </c>
      <c r="T89" s="96">
        <f t="shared" si="21"/>
        <v>19.040541104545724</v>
      </c>
      <c r="U89" s="97" t="str">
        <f t="shared" si="22"/>
        <v/>
      </c>
      <c r="V89" s="96" t="e">
        <f t="shared" si="23"/>
        <v>#N/A</v>
      </c>
      <c r="W89" s="97" t="e">
        <f t="shared" si="24"/>
        <v>#N/A</v>
      </c>
      <c r="X89" s="96" t="e">
        <f t="shared" si="25"/>
        <v>#N/A</v>
      </c>
      <c r="Y89" s="94" t="e">
        <f t="shared" si="26"/>
        <v>#N/A</v>
      </c>
      <c r="Z89" s="27">
        <f>VLOOKUP(C89,نهایی!B:B,1,0)</f>
        <v>1190</v>
      </c>
      <c r="AA89" s="27">
        <f>VLOOKUP(D89,نهایی!B:B,1,0)</f>
        <v>1190</v>
      </c>
      <c r="AB89" s="171" t="s">
        <v>591</v>
      </c>
    </row>
    <row r="90" spans="1:28" s="62" customFormat="1" x14ac:dyDescent="0.25">
      <c r="A90" s="93" t="s">
        <v>413</v>
      </c>
      <c r="B90" s="93"/>
      <c r="C90" s="93">
        <v>1195</v>
      </c>
      <c r="D90" s="100">
        <v>1195</v>
      </c>
      <c r="E90" s="93" t="s">
        <v>573</v>
      </c>
      <c r="F90" s="93"/>
      <c r="G90" s="98" t="e">
        <f>_xlfn.IFNA(_xlfn.XLOOKUP(D90,'کارکرد اداری'!$C$4:$C$204,'کارکرد اداری'!$N$4:$N$204,"0",0),_xlfn.XLOOKUP(C90,'کارکرد اداری'!$C$4:$C$204,'کارکرد اداری'!$N$4:$N$204,"0",0))</f>
        <v>#N/A</v>
      </c>
      <c r="H90" s="98">
        <f>_xlfn.XLOOKUP(D90,'کارکرد اداری'!$C$4:$C$204,'کارکرد اداری'!$K$4:$K$204,0,1)</f>
        <v>0</v>
      </c>
      <c r="I90" s="98">
        <f>_xlfn.XLOOKUP(D90,'کارکرد اداری'!$C$4:$C$204,'کارکرد اداری'!$I$4:$I$204,0,1)</f>
        <v>0</v>
      </c>
      <c r="J90" s="164" t="e" cm="1">
        <f t="array" ref="J90">_xlfn.IFNA(INDEX('کارکرد اداری'!J:J,MATCH(C90,'کارکرد اداری'!B:B,0),0),INDEX('کارکرد اداری'!J:J,MATCH(D90,'کارکرد اداری'!C:C,0),0))</f>
        <v>#N/A</v>
      </c>
      <c r="K90" s="164" t="e" cm="1">
        <f t="array" ref="K90">_xlfn.IFNA(INDEX('کارکرد اداری'!R:R,MATCH(C90,'کارکرد اداری'!B:B,0),0),INDEX('کارکرد اداری'!R:R,MATCH(D90,'کارکرد اداری'!C:C,0),0))</f>
        <v>#N/A</v>
      </c>
      <c r="L90" s="164" t="e" cm="1">
        <f t="array" ref="L90">_xlfn.IFNA(INDEX('کارکرد اداری'!S:S,MATCH(C90,'کارکرد اداری'!B:B,0),0),INDEX('کارکرد اداری'!S:S,MATCH(D90,'کارکرد اداری'!C:C,0),0))</f>
        <v>#N/A</v>
      </c>
      <c r="M90" s="164" t="e" cm="1">
        <f t="array" ref="M90">_xlfn.IFNA(INDEX('کارکرد اداری'!P:P,MATCH(C90,'کارکرد اداری'!B:B,0),0),INDEX('کارکرد اداری'!P:P,MATCH(D90,'کارکرد اداری'!C:C,0),0))</f>
        <v>#N/A</v>
      </c>
      <c r="N90" s="164" t="e" cm="1">
        <f t="array" ref="N90">_xlfn.IFNA(INDEX('کارکرد اداری'!Q:Q,MATCH(C90,'کارکرد اداری'!B:B,0),0),INDEX('کارکرد اداری'!Q:Q,MATCH(D90,'کارکرد اداری'!C:C,0),0))</f>
        <v>#N/A</v>
      </c>
      <c r="O90" s="100" t="e">
        <f>$F$1-$M$1-G90-H90-I90-J90-13</f>
        <v>#N/A</v>
      </c>
      <c r="P90" s="96" t="e">
        <f t="shared" si="19"/>
        <v>#N/A</v>
      </c>
      <c r="Q90" s="97" cm="1">
        <f t="array" ref="Q90">_xlfn.IFNA(INDEX(نهایی!CW:CW,MATCH(D90,نهایی!B:B,0),0)/60,INDEX(نهایی!CW:CW,MATCH(C90,نهایی!B:B,0),0)/60)</f>
        <v>72.333333333333329</v>
      </c>
      <c r="R90" s="97" t="e">
        <f t="shared" si="20"/>
        <v>#N/A</v>
      </c>
      <c r="S90" s="161">
        <f>_xlfn.IFNA(INDEX(نهایی!CX:CX,MATCH(D90,نهایی!B:B,0)),INDEX(نهایی!CX:CX,MATCH(C90,نهایی!B:B,0)))+25</f>
        <v>59.844961240310077</v>
      </c>
      <c r="T90" s="96">
        <f t="shared" si="21"/>
        <v>12.488372093023251</v>
      </c>
      <c r="U90" s="97" t="str">
        <f t="shared" si="22"/>
        <v/>
      </c>
      <c r="V90" s="96" t="e">
        <f t="shared" si="23"/>
        <v>#N/A</v>
      </c>
      <c r="W90" s="97" t="e">
        <f t="shared" si="24"/>
        <v>#N/A</v>
      </c>
      <c r="X90" s="96" t="e">
        <f t="shared" si="25"/>
        <v>#N/A</v>
      </c>
      <c r="Y90" s="94" t="e">
        <f t="shared" si="26"/>
        <v>#N/A</v>
      </c>
      <c r="Z90" s="27">
        <f>VLOOKUP(C90,نهایی!B:B,1,0)</f>
        <v>1195</v>
      </c>
      <c r="AA90" s="27">
        <f>VLOOKUP(D90,نهایی!B:B,1,0)</f>
        <v>1195</v>
      </c>
      <c r="AB90" s="171" t="s">
        <v>591</v>
      </c>
    </row>
    <row r="91" spans="1:28" s="62" customFormat="1" x14ac:dyDescent="0.25">
      <c r="A91" s="93" t="s">
        <v>413</v>
      </c>
      <c r="B91" s="93"/>
      <c r="C91" s="93">
        <v>1173</v>
      </c>
      <c r="D91" s="100">
        <v>1173</v>
      </c>
      <c r="E91" s="93" t="s">
        <v>540</v>
      </c>
      <c r="F91" s="93"/>
      <c r="G91" s="98" t="e">
        <f>_xlfn.IFNA(_xlfn.XLOOKUP(D91,'کارکرد اداری'!$C$4:$C$204,'کارکرد اداری'!$N$4:$N$204,"0",0),_xlfn.XLOOKUP(C91,'کارکرد اداری'!$C$4:$C$204,'کارکرد اداری'!$N$4:$N$204,"0",0))</f>
        <v>#N/A</v>
      </c>
      <c r="H91" s="98">
        <f>_xlfn.XLOOKUP(D91,'کارکرد اداری'!$C$4:$C$204,'کارکرد اداری'!$K$4:$K$204,0,1)</f>
        <v>0</v>
      </c>
      <c r="I91" s="98">
        <f>_xlfn.XLOOKUP(D91,'کارکرد اداری'!$C$4:$C$204,'کارکرد اداری'!$I$4:$I$204,0,1)</f>
        <v>0</v>
      </c>
      <c r="J91" s="164" t="e" cm="1">
        <f t="array" ref="J91">_xlfn.IFNA(INDEX('کارکرد اداری'!J:J,MATCH(C91,'کارکرد اداری'!B:B,0),0),INDEX('کارکرد اداری'!J:J,MATCH(D91,'کارکرد اداری'!C:C,0),0))</f>
        <v>#N/A</v>
      </c>
      <c r="K91" s="164" t="e" cm="1">
        <f t="array" ref="K91">_xlfn.IFNA(INDEX('کارکرد اداری'!R:R,MATCH(C91,'کارکرد اداری'!B:B,0),0),INDEX('کارکرد اداری'!R:R,MATCH(D91,'کارکرد اداری'!C:C,0),0))</f>
        <v>#N/A</v>
      </c>
      <c r="L91" s="164" t="e" cm="1">
        <f t="array" ref="L91">_xlfn.IFNA(INDEX('کارکرد اداری'!S:S,MATCH(C91,'کارکرد اداری'!B:B,0),0),INDEX('کارکرد اداری'!S:S,MATCH(D91,'کارکرد اداری'!C:C,0),0))</f>
        <v>#N/A</v>
      </c>
      <c r="M91" s="164" t="e" cm="1">
        <f t="array" ref="M91">_xlfn.IFNA(INDEX('کارکرد اداری'!P:P,MATCH(C91,'کارکرد اداری'!B:B,0),0),INDEX('کارکرد اداری'!P:P,MATCH(D91,'کارکرد اداری'!C:C,0),0))</f>
        <v>#N/A</v>
      </c>
      <c r="N91" s="164" t="e" cm="1">
        <f t="array" ref="N91">_xlfn.IFNA(INDEX('کارکرد اداری'!Q:Q,MATCH(C91,'کارکرد اداری'!B:B,0),0),INDEX('کارکرد اداری'!Q:Q,MATCH(D91,'کارکرد اداری'!C:C,0),0))</f>
        <v>#N/A</v>
      </c>
      <c r="O91" s="100" t="e">
        <f t="shared" ref="O91:O102" si="27">$F$1-$M$1-G91-H91-I91-J91</f>
        <v>#N/A</v>
      </c>
      <c r="P91" s="96" t="e">
        <f t="shared" si="19"/>
        <v>#N/A</v>
      </c>
      <c r="Q91" s="97" cm="1">
        <f t="array" ref="Q91">_xlfn.IFNA(INDEX(نهایی!CW:CW,MATCH(D91,نهایی!B:B,0),0)/60,INDEX(نهایی!CW:CW,MATCH(C91,نهایی!B:B,0),0)/60)</f>
        <v>139.66666666666666</v>
      </c>
      <c r="R91" s="97" t="e">
        <f t="shared" si="20"/>
        <v>#N/A</v>
      </c>
      <c r="S91" s="161">
        <f>_xlfn.IFNA(INDEX(نهایی!CX:CX,MATCH(D91,نهایی!B:B,0)),INDEX(نهایی!CX:CX,MATCH(C91,نهایی!B:B,0)))+10</f>
        <v>112.40374342147538</v>
      </c>
      <c r="T91" s="96">
        <f t="shared" si="21"/>
        <v>27.262923245191274</v>
      </c>
      <c r="U91" s="97" t="str">
        <f t="shared" si="22"/>
        <v/>
      </c>
      <c r="V91" s="96" t="e">
        <f t="shared" si="23"/>
        <v>#N/A</v>
      </c>
      <c r="W91" s="97" t="e">
        <f t="shared" si="24"/>
        <v>#N/A</v>
      </c>
      <c r="X91" s="96" t="e">
        <f t="shared" si="25"/>
        <v>#N/A</v>
      </c>
      <c r="Y91" s="94" t="e">
        <f t="shared" si="26"/>
        <v>#N/A</v>
      </c>
      <c r="Z91" s="27">
        <f>VLOOKUP(C91,نهایی!B:B,1,0)</f>
        <v>1173</v>
      </c>
      <c r="AA91" s="27">
        <f>VLOOKUP(D91,نهایی!B:B,1,0)</f>
        <v>1173</v>
      </c>
      <c r="AB91" s="171" t="s">
        <v>591</v>
      </c>
    </row>
    <row r="92" spans="1:28" s="62" customFormat="1" x14ac:dyDescent="0.25">
      <c r="A92" s="93" t="s">
        <v>413</v>
      </c>
      <c r="B92" s="93"/>
      <c r="C92" s="93">
        <v>1098</v>
      </c>
      <c r="D92" s="100">
        <v>1091</v>
      </c>
      <c r="E92" s="93" t="s">
        <v>422</v>
      </c>
      <c r="F92" s="127"/>
      <c r="G92" s="98" t="str">
        <f>_xlfn.IFNA(_xlfn.XLOOKUP(D92,'کارکرد اداری'!$C$4:$C$204,'کارکرد اداری'!$N$4:$N$204,"0",0),_xlfn.XLOOKUP(C92,'کارکرد اداری'!$C$4:$C$204,'کارکرد اداری'!$N$4:$N$204,"0",0))</f>
        <v>0</v>
      </c>
      <c r="H92" s="98">
        <f>_xlfn.XLOOKUP(D92,'کارکرد اداری'!$C$4:$C$204,'کارکرد اداری'!$K$4:$K$204,0,1)</f>
        <v>0</v>
      </c>
      <c r="I92" s="98">
        <f>_xlfn.XLOOKUP(D92,'کارکرد اداری'!$C$4:$C$204,'کارکرد اداری'!$I$4:$I$204,0,1)</f>
        <v>0</v>
      </c>
      <c r="J92" s="164" t="e" cm="1">
        <f t="array" ref="J92">_xlfn.IFNA(INDEX('کارکرد اداری'!J:J,MATCH(C92,'کارکرد اداری'!B:B,0),0),INDEX('کارکرد اداری'!J:J,MATCH(D92,'کارکرد اداری'!C:C,0),0))</f>
        <v>#N/A</v>
      </c>
      <c r="K92" s="164" t="e" cm="1">
        <f t="array" ref="K92">_xlfn.IFNA(INDEX('کارکرد اداری'!R:R,MATCH(C92,'کارکرد اداری'!B:B,0),0),INDEX('کارکرد اداری'!R:R,MATCH(D92,'کارکرد اداری'!C:C,0),0))</f>
        <v>#N/A</v>
      </c>
      <c r="L92" s="164" t="e" cm="1">
        <f t="array" ref="L92">_xlfn.IFNA(INDEX('کارکرد اداری'!S:S,MATCH(C92,'کارکرد اداری'!B:B,0),0),INDEX('کارکرد اداری'!S:S,MATCH(D92,'کارکرد اداری'!C:C,0),0))</f>
        <v>#N/A</v>
      </c>
      <c r="M92" s="164" t="e" cm="1">
        <f t="array" ref="M92">_xlfn.IFNA(INDEX('کارکرد اداری'!P:P,MATCH(C92,'کارکرد اداری'!B:B,0),0),INDEX('کارکرد اداری'!P:P,MATCH(D92,'کارکرد اداری'!C:C,0),0))</f>
        <v>#N/A</v>
      </c>
      <c r="N92" s="164" t="e" cm="1">
        <f t="array" ref="N92">_xlfn.IFNA(INDEX('کارکرد اداری'!Q:Q,MATCH(C92,'کارکرد اداری'!B:B,0),0),INDEX('کارکرد اداری'!Q:Q,MATCH(D92,'کارکرد اداری'!C:C,0),0))</f>
        <v>#N/A</v>
      </c>
      <c r="O92" s="95" t="e">
        <f t="shared" si="27"/>
        <v>#N/A</v>
      </c>
      <c r="P92" s="96" t="e">
        <f t="shared" si="19"/>
        <v>#N/A</v>
      </c>
      <c r="Q92" s="97" cm="1">
        <f t="array" ref="Q92">_xlfn.IFNA(INDEX(نهایی!CW:CW,MATCH(D92,نهایی!B:B,0),0)/60,INDEX(نهایی!CW:CW,MATCH(C92,نهایی!B:B,0),0)/60)</f>
        <v>163.66666666666666</v>
      </c>
      <c r="R92" s="97" t="e">
        <f t="shared" si="20"/>
        <v>#N/A</v>
      </c>
      <c r="S92" s="161">
        <f>_xlfn.IFNA(INDEX(نهایی!CX:CX,MATCH(D92,نهایی!B:B,0)),INDEX(نهایی!CX:CX,MATCH(C92,نهایی!B:B,0)))+30</f>
        <v>135.67748287000489</v>
      </c>
      <c r="T92" s="96">
        <f t="shared" si="21"/>
        <v>27.989183796661763</v>
      </c>
      <c r="U92" s="97" t="str">
        <f t="shared" si="22"/>
        <v/>
      </c>
      <c r="V92" s="96" t="e">
        <f t="shared" si="23"/>
        <v>#N/A</v>
      </c>
      <c r="W92" s="97" t="e">
        <f t="shared" si="24"/>
        <v>#N/A</v>
      </c>
      <c r="X92" s="96" t="e">
        <f t="shared" si="25"/>
        <v>#N/A</v>
      </c>
      <c r="Y92" s="94" t="e">
        <f t="shared" si="26"/>
        <v>#N/A</v>
      </c>
      <c r="Z92" s="27" t="e">
        <f>VLOOKUP(C92,نهایی!B:B,1,0)</f>
        <v>#N/A</v>
      </c>
      <c r="AA92" s="27">
        <f>VLOOKUP(D92,نهایی!B:B,1,0)</f>
        <v>1091</v>
      </c>
      <c r="AB92" s="171" t="s">
        <v>591</v>
      </c>
    </row>
    <row r="93" spans="1:28" s="62" customFormat="1" x14ac:dyDescent="0.25">
      <c r="A93" s="93" t="s">
        <v>413</v>
      </c>
      <c r="B93" s="93"/>
      <c r="C93" s="93">
        <f>_xlfn.XLOOKUP(D93,'کارکرد اداری'!$C$3:$C$106,'کارکرد اداری'!$B$3:$B$106,0,1)</f>
        <v>1158</v>
      </c>
      <c r="D93" s="100">
        <v>1157</v>
      </c>
      <c r="E93" s="93" t="s">
        <v>484</v>
      </c>
      <c r="F93" s="134"/>
      <c r="G93" s="98" t="str">
        <f>_xlfn.IFNA(_xlfn.XLOOKUP(D93,'کارکرد اداری'!$C$4:$C$204,'کارکرد اداری'!$N$4:$N$204,"0",0),_xlfn.XLOOKUP(C93,'کارکرد اداری'!$C$4:$C$204,'کارکرد اداری'!$N$4:$N$204,"0",0))</f>
        <v>0</v>
      </c>
      <c r="H93" s="98">
        <f>_xlfn.XLOOKUP(D93,'کارکرد اداری'!$C$4:$C$204,'کارکرد اداری'!$K$4:$K$204,0,1)</f>
        <v>0</v>
      </c>
      <c r="I93" s="98">
        <f>_xlfn.XLOOKUP(D93,'کارکرد اداری'!$C$4:$C$204,'کارکرد اداری'!$I$4:$I$204,0,1)</f>
        <v>0</v>
      </c>
      <c r="J93" s="164" t="e" cm="1">
        <f t="array" ref="J93">_xlfn.IFNA(INDEX('کارکرد اداری'!J:J,MATCH(C93,'کارکرد اداری'!B:B,0),0),INDEX('کارکرد اداری'!J:J,MATCH(D93,'کارکرد اداری'!C:C,0),0))</f>
        <v>#N/A</v>
      </c>
      <c r="K93" s="164" t="e" cm="1">
        <f t="array" ref="K93">_xlfn.IFNA(INDEX('کارکرد اداری'!R:R,MATCH(C93,'کارکرد اداری'!B:B,0),0),INDEX('کارکرد اداری'!R:R,MATCH(D93,'کارکرد اداری'!C:C,0),0))</f>
        <v>#N/A</v>
      </c>
      <c r="L93" s="164" t="e" cm="1">
        <f t="array" ref="L93">_xlfn.IFNA(INDEX('کارکرد اداری'!S:S,MATCH(C93,'کارکرد اداری'!B:B,0),0),INDEX('کارکرد اداری'!S:S,MATCH(D93,'کارکرد اداری'!C:C,0),0))</f>
        <v>#N/A</v>
      </c>
      <c r="M93" s="164" t="e" cm="1">
        <f t="array" ref="M93">_xlfn.IFNA(INDEX('کارکرد اداری'!P:P,MATCH(C93,'کارکرد اداری'!B:B,0),0),INDEX('کارکرد اداری'!P:P,MATCH(D93,'کارکرد اداری'!C:C,0),0))</f>
        <v>#N/A</v>
      </c>
      <c r="N93" s="164" t="e" cm="1">
        <f t="array" ref="N93">_xlfn.IFNA(INDEX('کارکرد اداری'!Q:Q,MATCH(C93,'کارکرد اداری'!B:B,0),0),INDEX('کارکرد اداری'!Q:Q,MATCH(D93,'کارکرد اداری'!C:C,0),0))</f>
        <v>#N/A</v>
      </c>
      <c r="O93" s="95" t="e">
        <f t="shared" si="27"/>
        <v>#N/A</v>
      </c>
      <c r="P93" s="101" t="e">
        <f t="shared" si="19"/>
        <v>#N/A</v>
      </c>
      <c r="Q93" s="97"/>
      <c r="R93" s="97"/>
      <c r="S93" s="161"/>
      <c r="T93" s="96"/>
      <c r="U93" s="97"/>
      <c r="V93" s="96"/>
      <c r="W93" s="97"/>
      <c r="X93" s="96"/>
      <c r="Y93" s="94"/>
      <c r="Z93" s="27" t="e">
        <f>VLOOKUP(C93,نهایی!B:B,1,0)</f>
        <v>#N/A</v>
      </c>
      <c r="AA93" s="27" t="e">
        <f>VLOOKUP(D93,نهایی!B:B,1,0)</f>
        <v>#N/A</v>
      </c>
      <c r="AB93" s="171"/>
    </row>
    <row r="94" spans="1:28" s="62" customFormat="1" x14ac:dyDescent="0.25">
      <c r="A94" s="93" t="s">
        <v>414</v>
      </c>
      <c r="B94" s="93"/>
      <c r="C94" s="93">
        <f>_xlfn.XLOOKUP(D94,'کارکرد اداری'!$C$3:$C$106,'کارکرد اداری'!$B$3:$B$106,0,1)</f>
        <v>446</v>
      </c>
      <c r="D94" s="100">
        <v>14425</v>
      </c>
      <c r="E94" s="93" t="s">
        <v>481</v>
      </c>
      <c r="F94" s="134"/>
      <c r="G94" s="98" t="str">
        <f>_xlfn.IFNA(_xlfn.XLOOKUP(D94,'کارکرد اداری'!$C$4:$C$204,'کارکرد اداری'!$N$4:$N$204,"0",0),_xlfn.XLOOKUP(C94,'کارکرد اداری'!$C$4:$C$204,'کارکرد اداری'!$N$4:$N$204,"0",0))</f>
        <v>0</v>
      </c>
      <c r="H94" s="98">
        <f>_xlfn.XLOOKUP(D94,'کارکرد اداری'!$C$4:$C$204,'کارکرد اداری'!$K$4:$K$204,0,1)</f>
        <v>0</v>
      </c>
      <c r="I94" s="98">
        <f>_xlfn.XLOOKUP(D94,'کارکرد اداری'!$C$4:$C$204,'کارکرد اداری'!$I$4:$I$204,0,1)</f>
        <v>0</v>
      </c>
      <c r="J94" s="164" t="e" cm="1">
        <f t="array" ref="J94">_xlfn.IFNA(INDEX('کارکرد اداری'!J:J,MATCH(C94,'کارکرد اداری'!B:B,0),0),INDEX('کارکرد اداری'!J:J,MATCH(D94,'کارکرد اداری'!C:C,0),0))</f>
        <v>#N/A</v>
      </c>
      <c r="K94" s="164" t="e" cm="1">
        <f t="array" ref="K94">_xlfn.IFNA(INDEX('کارکرد اداری'!R:R,MATCH(C94,'کارکرد اداری'!B:B,0),0),INDEX('کارکرد اداری'!R:R,MATCH(D94,'کارکرد اداری'!C:C,0),0))</f>
        <v>#N/A</v>
      </c>
      <c r="L94" s="164" t="e" cm="1">
        <f t="array" ref="L94">_xlfn.IFNA(INDEX('کارکرد اداری'!S:S,MATCH(C94,'کارکرد اداری'!B:B,0),0),INDEX('کارکرد اداری'!S:S,MATCH(D94,'کارکرد اداری'!C:C,0),0))</f>
        <v>#N/A</v>
      </c>
      <c r="M94" s="164" t="e" cm="1">
        <f t="array" ref="M94">_xlfn.IFNA(INDEX('کارکرد اداری'!P:P,MATCH(C94,'کارکرد اداری'!B:B,0),0),INDEX('کارکرد اداری'!P:P,MATCH(D94,'کارکرد اداری'!C:C,0),0))</f>
        <v>#N/A</v>
      </c>
      <c r="N94" s="164" t="e" cm="1">
        <f t="array" ref="N94">_xlfn.IFNA(INDEX('کارکرد اداری'!Q:Q,MATCH(C94,'کارکرد اداری'!B:B,0),0),INDEX('کارکرد اداری'!Q:Q,MATCH(D94,'کارکرد اداری'!C:C,0),0))</f>
        <v>#N/A</v>
      </c>
      <c r="O94" s="100" t="e">
        <f t="shared" si="27"/>
        <v>#N/A</v>
      </c>
      <c r="P94" s="101" t="e">
        <f t="shared" si="19"/>
        <v>#N/A</v>
      </c>
      <c r="Q94" s="97"/>
      <c r="R94" s="97"/>
      <c r="S94" s="161"/>
      <c r="T94" s="96"/>
      <c r="U94" s="97"/>
      <c r="V94" s="96"/>
      <c r="W94" s="97"/>
      <c r="X94" s="96"/>
      <c r="Y94" s="94"/>
      <c r="Z94" s="27" t="e">
        <f>VLOOKUP(C94,نهایی!B:B,1,0)</f>
        <v>#N/A</v>
      </c>
      <c r="AA94" s="27" t="e">
        <f>VLOOKUP(D94,نهایی!B:B,1,0)</f>
        <v>#N/A</v>
      </c>
      <c r="AB94" s="171"/>
    </row>
    <row r="95" spans="1:28" s="62" customFormat="1" x14ac:dyDescent="0.25">
      <c r="A95" s="93" t="s">
        <v>352</v>
      </c>
      <c r="B95" s="93"/>
      <c r="C95" s="93">
        <f>_xlfn.XLOOKUP(D95,'کارکرد اداری'!$C$3:$C$106,'کارکرد اداری'!$B$3:$B$106,0,1)</f>
        <v>1055</v>
      </c>
      <c r="D95" s="100">
        <v>14863</v>
      </c>
      <c r="E95" s="93" t="s">
        <v>405</v>
      </c>
      <c r="F95" s="134"/>
      <c r="G95" s="98" t="str">
        <f>_xlfn.IFNA(_xlfn.XLOOKUP(D95,'کارکرد اداری'!$C$4:$C$204,'کارکرد اداری'!$N$4:$N$204,"0",0),_xlfn.XLOOKUP(C95,'کارکرد اداری'!$C$4:$C$204,'کارکرد اداری'!$N$4:$N$204,"0",0))</f>
        <v>0</v>
      </c>
      <c r="H95" s="98">
        <f>_xlfn.XLOOKUP(D95,'کارکرد اداری'!$C$4:$C$204,'کارکرد اداری'!$K$4:$K$204,0,1)</f>
        <v>0</v>
      </c>
      <c r="I95" s="98">
        <f>_xlfn.XLOOKUP(D95,'کارکرد اداری'!$C$4:$C$204,'کارکرد اداری'!$I$4:$I$204,0,1)</f>
        <v>0</v>
      </c>
      <c r="J95" s="164" t="e" cm="1">
        <f t="array" ref="J95">_xlfn.IFNA(INDEX('کارکرد اداری'!J:J,MATCH(C95,'کارکرد اداری'!B:B,0),0),INDEX('کارکرد اداری'!J:J,MATCH(D95,'کارکرد اداری'!C:C,0),0))</f>
        <v>#N/A</v>
      </c>
      <c r="K95" s="164" t="e" cm="1">
        <f t="array" ref="K95">_xlfn.IFNA(INDEX('کارکرد اداری'!R:R,MATCH(C95,'کارکرد اداری'!B:B,0),0),INDEX('کارکرد اداری'!R:R,MATCH(D95,'کارکرد اداری'!C:C,0),0))</f>
        <v>#N/A</v>
      </c>
      <c r="L95" s="164" t="e" cm="1">
        <f t="array" ref="L95">_xlfn.IFNA(INDEX('کارکرد اداری'!S:S,MATCH(C95,'کارکرد اداری'!B:B,0),0),INDEX('کارکرد اداری'!S:S,MATCH(D95,'کارکرد اداری'!C:C,0),0))</f>
        <v>#N/A</v>
      </c>
      <c r="M95" s="164" t="e" cm="1">
        <f t="array" ref="M95">_xlfn.IFNA(INDEX('کارکرد اداری'!P:P,MATCH(C95,'کارکرد اداری'!B:B,0),0),INDEX('کارکرد اداری'!P:P,MATCH(D95,'کارکرد اداری'!C:C,0),0))</f>
        <v>#N/A</v>
      </c>
      <c r="N95" s="164" t="e" cm="1">
        <f t="array" ref="N95">_xlfn.IFNA(INDEX('کارکرد اداری'!Q:Q,MATCH(C95,'کارکرد اداری'!B:B,0),0),INDEX('کارکرد اداری'!Q:Q,MATCH(D95,'کارکرد اداری'!C:C,0),0))</f>
        <v>#N/A</v>
      </c>
      <c r="O95" s="95" t="e">
        <f t="shared" si="27"/>
        <v>#N/A</v>
      </c>
      <c r="P95" s="101" t="e">
        <f t="shared" ref="P95:P106" si="28">((O95*440+M95*60+N95)-(K95*60-L95))/60</f>
        <v>#N/A</v>
      </c>
      <c r="Q95" s="97"/>
      <c r="R95" s="97"/>
      <c r="S95" s="161"/>
      <c r="T95" s="96"/>
      <c r="U95" s="97"/>
      <c r="V95" s="96"/>
      <c r="W95" s="97"/>
      <c r="X95" s="96"/>
      <c r="Y95" s="94"/>
      <c r="Z95" s="27" t="e">
        <f>VLOOKUP(C95,نهایی!B:B,1,0)</f>
        <v>#N/A</v>
      </c>
      <c r="AA95" s="27" t="e">
        <f>VLOOKUP(D95,نهایی!B:B,1,0)</f>
        <v>#N/A</v>
      </c>
      <c r="AB95" s="171"/>
    </row>
    <row r="96" spans="1:28" s="62" customFormat="1" x14ac:dyDescent="0.25">
      <c r="A96" s="127" t="s">
        <v>352</v>
      </c>
      <c r="B96" s="127"/>
      <c r="C96" s="93">
        <f>_xlfn.XLOOKUP(D96,'کارکرد اداری'!$C$3:$C$106,'کارکرد اداری'!$B$3:$B$106,0,1)</f>
        <v>865</v>
      </c>
      <c r="D96" s="128">
        <v>14682</v>
      </c>
      <c r="E96" s="127" t="s">
        <v>377</v>
      </c>
      <c r="F96" s="134"/>
      <c r="G96" s="98" t="str">
        <f>_xlfn.IFNA(_xlfn.XLOOKUP(D96,'کارکرد اداری'!$C$4:$C$204,'کارکرد اداری'!$N$4:$N$204,"0",0),_xlfn.XLOOKUP(C96,'کارکرد اداری'!$C$4:$C$204,'کارکرد اداری'!$N$4:$N$204,"0",0))</f>
        <v>0</v>
      </c>
      <c r="H96" s="98">
        <f>_xlfn.XLOOKUP(D96,'کارکرد اداری'!$C$4:$C$204,'کارکرد اداری'!$K$4:$K$204,0,1)</f>
        <v>0</v>
      </c>
      <c r="I96" s="98">
        <f>_xlfn.XLOOKUP(D96,'کارکرد اداری'!$C$4:$C$204,'کارکرد اداری'!$I$4:$I$204,0,1)</f>
        <v>0</v>
      </c>
      <c r="J96" s="164" t="e" cm="1">
        <f t="array" ref="J96">_xlfn.IFNA(INDEX('کارکرد اداری'!J:J,MATCH(C96,'کارکرد اداری'!B:B,0),0),INDEX('کارکرد اداری'!J:J,MATCH(D96,'کارکرد اداری'!C:C,0),0))</f>
        <v>#N/A</v>
      </c>
      <c r="K96" s="164" t="e" cm="1">
        <f t="array" ref="K96">_xlfn.IFNA(INDEX('کارکرد اداری'!R:R,MATCH(C96,'کارکرد اداری'!B:B,0),0),INDEX('کارکرد اداری'!R:R,MATCH(D96,'کارکرد اداری'!C:C,0),0))</f>
        <v>#N/A</v>
      </c>
      <c r="L96" s="164" t="e" cm="1">
        <f t="array" ref="L96">_xlfn.IFNA(INDEX('کارکرد اداری'!S:S,MATCH(C96,'کارکرد اداری'!B:B,0),0),INDEX('کارکرد اداری'!S:S,MATCH(D96,'کارکرد اداری'!C:C,0),0))</f>
        <v>#N/A</v>
      </c>
      <c r="M96" s="164" t="e" cm="1">
        <f t="array" ref="M96">_xlfn.IFNA(INDEX('کارکرد اداری'!P:P,MATCH(C96,'کارکرد اداری'!B:B,0),0),INDEX('کارکرد اداری'!P:P,MATCH(D96,'کارکرد اداری'!C:C,0),0))</f>
        <v>#N/A</v>
      </c>
      <c r="N96" s="164" t="e" cm="1">
        <f t="array" ref="N96">_xlfn.IFNA(INDEX('کارکرد اداری'!Q:Q,MATCH(C96,'کارکرد اداری'!B:B,0),0),INDEX('کارکرد اداری'!Q:Q,MATCH(D96,'کارکرد اداری'!C:C,0),0))</f>
        <v>#N/A</v>
      </c>
      <c r="O96" s="95" t="e">
        <f t="shared" si="27"/>
        <v>#N/A</v>
      </c>
      <c r="P96" s="101" t="e">
        <f t="shared" si="28"/>
        <v>#N/A</v>
      </c>
      <c r="Q96" s="97"/>
      <c r="R96" s="97"/>
      <c r="S96" s="161"/>
      <c r="T96" s="96"/>
      <c r="U96" s="97"/>
      <c r="V96" s="96"/>
      <c r="W96" s="97"/>
      <c r="X96" s="96"/>
      <c r="Y96" s="94"/>
      <c r="Z96" s="27" t="e">
        <f>VLOOKUP(C96,نهایی!B:B,1,0)</f>
        <v>#N/A</v>
      </c>
      <c r="AA96" s="27" t="e">
        <f>VLOOKUP(D96,نهایی!B:B,1,0)</f>
        <v>#N/A</v>
      </c>
      <c r="AB96" s="171"/>
    </row>
    <row r="97" spans="1:28" s="62" customFormat="1" x14ac:dyDescent="0.25">
      <c r="A97" s="93" t="s">
        <v>352</v>
      </c>
      <c r="B97" s="93"/>
      <c r="C97" s="93">
        <f>_xlfn.XLOOKUP(D97,'کارکرد اداری'!$C$3:$C$106,'کارکرد اداری'!$B$3:$B$106,0,1)</f>
        <v>634</v>
      </c>
      <c r="D97" s="100">
        <v>14557</v>
      </c>
      <c r="E97" s="93" t="s">
        <v>391</v>
      </c>
      <c r="F97" s="134"/>
      <c r="G97" s="98" t="str">
        <f>_xlfn.IFNA(_xlfn.XLOOKUP(D97,'کارکرد اداری'!$C$4:$C$204,'کارکرد اداری'!$N$4:$N$204,"0",0),_xlfn.XLOOKUP(C97,'کارکرد اداری'!$C$4:$C$204,'کارکرد اداری'!$N$4:$N$204,"0",0))</f>
        <v>0</v>
      </c>
      <c r="H97" s="98">
        <f>_xlfn.XLOOKUP(D97,'کارکرد اداری'!$C$4:$C$204,'کارکرد اداری'!$K$4:$K$204,0,1)</f>
        <v>0</v>
      </c>
      <c r="I97" s="98">
        <f>_xlfn.XLOOKUP(D97,'کارکرد اداری'!$C$4:$C$204,'کارکرد اداری'!$I$4:$I$204,0,1)</f>
        <v>0</v>
      </c>
      <c r="J97" s="164" t="e" cm="1">
        <f t="array" ref="J97">_xlfn.IFNA(INDEX('کارکرد اداری'!J:J,MATCH(C97,'کارکرد اداری'!B:B,0),0),INDEX('کارکرد اداری'!J:J,MATCH(D97,'کارکرد اداری'!C:C,0),0))</f>
        <v>#N/A</v>
      </c>
      <c r="K97" s="164" t="e" cm="1">
        <f t="array" ref="K97">_xlfn.IFNA(INDEX('کارکرد اداری'!R:R,MATCH(C97,'کارکرد اداری'!B:B,0),0),INDEX('کارکرد اداری'!R:R,MATCH(D97,'کارکرد اداری'!C:C,0),0))</f>
        <v>#N/A</v>
      </c>
      <c r="L97" s="164" t="e" cm="1">
        <f t="array" ref="L97">_xlfn.IFNA(INDEX('کارکرد اداری'!S:S,MATCH(C97,'کارکرد اداری'!B:B,0),0),INDEX('کارکرد اداری'!S:S,MATCH(D97,'کارکرد اداری'!C:C,0),0))</f>
        <v>#N/A</v>
      </c>
      <c r="M97" s="164" t="e" cm="1">
        <f t="array" ref="M97">_xlfn.IFNA(INDEX('کارکرد اداری'!P:P,MATCH(C97,'کارکرد اداری'!B:B,0),0),INDEX('کارکرد اداری'!P:P,MATCH(D97,'کارکرد اداری'!C:C,0),0))</f>
        <v>#N/A</v>
      </c>
      <c r="N97" s="164" t="e" cm="1">
        <f t="array" ref="N97">_xlfn.IFNA(INDEX('کارکرد اداری'!Q:Q,MATCH(C97,'کارکرد اداری'!B:B,0),0),INDEX('کارکرد اداری'!Q:Q,MATCH(D97,'کارکرد اداری'!C:C,0),0))</f>
        <v>#N/A</v>
      </c>
      <c r="O97" s="95" t="e">
        <f t="shared" si="27"/>
        <v>#N/A</v>
      </c>
      <c r="P97" s="101" t="e">
        <f t="shared" si="28"/>
        <v>#N/A</v>
      </c>
      <c r="Q97" s="97"/>
      <c r="R97" s="97"/>
      <c r="S97" s="161"/>
      <c r="T97" s="96"/>
      <c r="U97" s="97"/>
      <c r="V97" s="96"/>
      <c r="W97" s="97"/>
      <c r="X97" s="96"/>
      <c r="Y97" s="94"/>
      <c r="Z97" s="27" t="e">
        <f>VLOOKUP(C97,نهایی!B:B,1,0)</f>
        <v>#N/A</v>
      </c>
      <c r="AA97" s="27" t="e">
        <f>VLOOKUP(D97,نهایی!B:B,1,0)</f>
        <v>#N/A</v>
      </c>
      <c r="AB97" s="171"/>
    </row>
    <row r="98" spans="1:28" x14ac:dyDescent="0.25">
      <c r="A98" s="127" t="s">
        <v>352</v>
      </c>
      <c r="B98" s="127"/>
      <c r="C98" s="93">
        <f>_xlfn.XLOOKUP(D98,'کارکرد اداری'!$C$3:$C$106,'کارکرد اداری'!$B$3:$B$106,0,1)</f>
        <v>560</v>
      </c>
      <c r="D98" s="128">
        <v>14517</v>
      </c>
      <c r="E98" s="127" t="s">
        <v>369</v>
      </c>
      <c r="F98" s="133"/>
      <c r="G98" s="98" t="str">
        <f>_xlfn.IFNA(_xlfn.XLOOKUP(D98,'کارکرد اداری'!$C$4:$C$204,'کارکرد اداری'!$N$4:$N$204,"0",0),_xlfn.XLOOKUP(C98,'کارکرد اداری'!$C$4:$C$204,'کارکرد اداری'!$N$4:$N$204,"0",0))</f>
        <v>0</v>
      </c>
      <c r="H98" s="98">
        <f>_xlfn.XLOOKUP(D98,'کارکرد اداری'!$C$4:$C$204,'کارکرد اداری'!$K$4:$K$204,0,1)</f>
        <v>0</v>
      </c>
      <c r="I98" s="98">
        <f>_xlfn.XLOOKUP(D98,'کارکرد اداری'!$C$4:$C$204,'کارکرد اداری'!$I$4:$I$204,0,1)</f>
        <v>0</v>
      </c>
      <c r="J98" s="164" t="e" cm="1">
        <f t="array" ref="J98">_xlfn.IFNA(INDEX('کارکرد اداری'!J:J,MATCH(C98,'کارکرد اداری'!B:B,0),0),INDEX('کارکرد اداری'!J:J,MATCH(D98,'کارکرد اداری'!C:C,0),0))</f>
        <v>#N/A</v>
      </c>
      <c r="K98" s="164" t="e" cm="1">
        <f t="array" ref="K98">_xlfn.IFNA(INDEX('کارکرد اداری'!R:R,MATCH(C98,'کارکرد اداری'!B:B,0),0),INDEX('کارکرد اداری'!R:R,MATCH(D98,'کارکرد اداری'!C:C,0),0))</f>
        <v>#N/A</v>
      </c>
      <c r="L98" s="164" t="e" cm="1">
        <f t="array" ref="L98">_xlfn.IFNA(INDEX('کارکرد اداری'!S:S,MATCH(C98,'کارکرد اداری'!B:B,0),0),INDEX('کارکرد اداری'!S:S,MATCH(D98,'کارکرد اداری'!C:C,0),0))</f>
        <v>#N/A</v>
      </c>
      <c r="M98" s="164" t="e" cm="1">
        <f t="array" ref="M98">_xlfn.IFNA(INDEX('کارکرد اداری'!P:P,MATCH(C98,'کارکرد اداری'!B:B,0),0),INDEX('کارکرد اداری'!P:P,MATCH(D98,'کارکرد اداری'!C:C,0),0))</f>
        <v>#N/A</v>
      </c>
      <c r="N98" s="164" t="e" cm="1">
        <f t="array" ref="N98">_xlfn.IFNA(INDEX('کارکرد اداری'!Q:Q,MATCH(C98,'کارکرد اداری'!B:B,0),0),INDEX('کارکرد اداری'!Q:Q,MATCH(D98,'کارکرد اداری'!C:C,0),0))</f>
        <v>#N/A</v>
      </c>
      <c r="O98" s="95" t="e">
        <f t="shared" si="27"/>
        <v>#N/A</v>
      </c>
      <c r="P98" s="101" t="e">
        <f t="shared" si="28"/>
        <v>#N/A</v>
      </c>
      <c r="Q98" s="97"/>
      <c r="R98" s="97"/>
      <c r="S98" s="161"/>
      <c r="T98" s="96"/>
      <c r="U98" s="97"/>
      <c r="V98" s="96"/>
      <c r="W98" s="97"/>
      <c r="X98" s="96"/>
      <c r="Y98" s="94"/>
      <c r="Z98" s="27" t="e">
        <f>VLOOKUP(C98,نهایی!B:B,1,0)</f>
        <v>#N/A</v>
      </c>
      <c r="AA98" s="27" t="e">
        <f>VLOOKUP(D98,نهایی!B:B,1,0)</f>
        <v>#N/A</v>
      </c>
    </row>
    <row r="99" spans="1:28" x14ac:dyDescent="0.25">
      <c r="A99" s="93" t="s">
        <v>352</v>
      </c>
      <c r="B99" s="93"/>
      <c r="C99" s="93">
        <f>_xlfn.XLOOKUP(D99,'کارکرد اداری'!$C$3:$C$106,'کارکرد اداری'!$B$3:$B$106,0,1)</f>
        <v>472</v>
      </c>
      <c r="D99" s="100">
        <v>14445</v>
      </c>
      <c r="E99" s="93" t="s">
        <v>345</v>
      </c>
      <c r="F99" s="133"/>
      <c r="G99" s="98" t="str">
        <f>_xlfn.IFNA(_xlfn.XLOOKUP(D99,'کارکرد اداری'!$C$4:$C$204,'کارکرد اداری'!$N$4:$N$204,"0",0),_xlfn.XLOOKUP(C99,'کارکرد اداری'!$C$4:$C$204,'کارکرد اداری'!$N$4:$N$204,"0",0))</f>
        <v>0</v>
      </c>
      <c r="H99" s="98">
        <f>_xlfn.XLOOKUP(D99,'کارکرد اداری'!$C$4:$C$204,'کارکرد اداری'!$K$4:$K$204,0,1)</f>
        <v>0</v>
      </c>
      <c r="I99" s="98">
        <f>_xlfn.XLOOKUP(D99,'کارکرد اداری'!$C$4:$C$204,'کارکرد اداری'!$I$4:$I$204,0,1)</f>
        <v>0</v>
      </c>
      <c r="J99" s="164" t="e" cm="1">
        <f t="array" ref="J99">_xlfn.IFNA(INDEX('کارکرد اداری'!J:J,MATCH(C99,'کارکرد اداری'!B:B,0),0),INDEX('کارکرد اداری'!J:J,MATCH(D99,'کارکرد اداری'!C:C,0),0))</f>
        <v>#N/A</v>
      </c>
      <c r="K99" s="164" t="e" cm="1">
        <f t="array" ref="K99">_xlfn.IFNA(INDEX('کارکرد اداری'!R:R,MATCH(C99,'کارکرد اداری'!B:B,0),0),INDEX('کارکرد اداری'!R:R,MATCH(D99,'کارکرد اداری'!C:C,0),0))</f>
        <v>#N/A</v>
      </c>
      <c r="L99" s="164" t="e" cm="1">
        <f t="array" ref="L99">_xlfn.IFNA(INDEX('کارکرد اداری'!S:S,MATCH(C99,'کارکرد اداری'!B:B,0),0),INDEX('کارکرد اداری'!S:S,MATCH(D99,'کارکرد اداری'!C:C,0),0))</f>
        <v>#N/A</v>
      </c>
      <c r="M99" s="164" t="e" cm="1">
        <f t="array" ref="M99">_xlfn.IFNA(INDEX('کارکرد اداری'!P:P,MATCH(C99,'کارکرد اداری'!B:B,0),0),INDEX('کارکرد اداری'!P:P,MATCH(D99,'کارکرد اداری'!C:C,0),0))</f>
        <v>#N/A</v>
      </c>
      <c r="N99" s="164" t="e" cm="1">
        <f t="array" ref="N99">_xlfn.IFNA(INDEX('کارکرد اداری'!Q:Q,MATCH(C99,'کارکرد اداری'!B:B,0),0),INDEX('کارکرد اداری'!Q:Q,MATCH(D99,'کارکرد اداری'!C:C,0),0))</f>
        <v>#N/A</v>
      </c>
      <c r="O99" s="95" t="e">
        <f t="shared" si="27"/>
        <v>#N/A</v>
      </c>
      <c r="P99" s="101" t="e">
        <f t="shared" si="28"/>
        <v>#N/A</v>
      </c>
      <c r="Q99" s="97"/>
      <c r="R99" s="97"/>
      <c r="S99" s="161"/>
      <c r="T99" s="96"/>
      <c r="U99" s="97"/>
      <c r="V99" s="96"/>
      <c r="W99" s="97"/>
      <c r="X99" s="96"/>
      <c r="Y99" s="94"/>
      <c r="Z99" s="27" t="e">
        <f>VLOOKUP(C99,نهایی!B:B,1,0)</f>
        <v>#N/A</v>
      </c>
      <c r="AA99" s="27" t="e">
        <f>VLOOKUP(D99,نهایی!B:B,1,0)</f>
        <v>#N/A</v>
      </c>
    </row>
    <row r="100" spans="1:28" x14ac:dyDescent="0.25">
      <c r="A100" s="127" t="s">
        <v>352</v>
      </c>
      <c r="B100" s="127"/>
      <c r="C100" s="93">
        <f>_xlfn.XLOOKUP(D100,'کارکرد اداری'!$C$3:$C$106,'کارکرد اداری'!$B$3:$B$106,0,1)</f>
        <v>855</v>
      </c>
      <c r="D100" s="128">
        <v>14681</v>
      </c>
      <c r="E100" s="127" t="s">
        <v>376</v>
      </c>
      <c r="F100" s="133"/>
      <c r="G100" s="98" t="str">
        <f>_xlfn.IFNA(_xlfn.XLOOKUP(D100,'کارکرد اداری'!$C$4:$C$204,'کارکرد اداری'!$N$4:$N$204,"0",0),_xlfn.XLOOKUP(C100,'کارکرد اداری'!$C$4:$C$204,'کارکرد اداری'!$N$4:$N$204,"0",0))</f>
        <v>0</v>
      </c>
      <c r="H100" s="98">
        <f>_xlfn.XLOOKUP(D100,'کارکرد اداری'!$C$4:$C$204,'کارکرد اداری'!$K$4:$K$204,0,1)</f>
        <v>0</v>
      </c>
      <c r="I100" s="98">
        <f>_xlfn.XLOOKUP(D100,'کارکرد اداری'!$C$4:$C$204,'کارکرد اداری'!$I$4:$I$204,0,1)</f>
        <v>0</v>
      </c>
      <c r="J100" s="164" t="e" cm="1">
        <f t="array" ref="J100">_xlfn.IFNA(INDEX('کارکرد اداری'!J:J,MATCH(C100,'کارکرد اداری'!B:B,0),0),INDEX('کارکرد اداری'!J:J,MATCH(D100,'کارکرد اداری'!C:C,0),0))</f>
        <v>#N/A</v>
      </c>
      <c r="K100" s="164" t="e" cm="1">
        <f t="array" ref="K100">_xlfn.IFNA(INDEX('کارکرد اداری'!R:R,MATCH(C100,'کارکرد اداری'!B:B,0),0),INDEX('کارکرد اداری'!R:R,MATCH(D100,'کارکرد اداری'!C:C,0),0))</f>
        <v>#N/A</v>
      </c>
      <c r="L100" s="164" t="e" cm="1">
        <f t="array" ref="L100">_xlfn.IFNA(INDEX('کارکرد اداری'!S:S,MATCH(C100,'کارکرد اداری'!B:B,0),0),INDEX('کارکرد اداری'!S:S,MATCH(D100,'کارکرد اداری'!C:C,0),0))</f>
        <v>#N/A</v>
      </c>
      <c r="M100" s="164" t="e" cm="1">
        <f t="array" ref="M100">_xlfn.IFNA(INDEX('کارکرد اداری'!P:P,MATCH(C100,'کارکرد اداری'!B:B,0),0),INDEX('کارکرد اداری'!P:P,MATCH(D100,'کارکرد اداری'!C:C,0),0))</f>
        <v>#N/A</v>
      </c>
      <c r="N100" s="164" t="e" cm="1">
        <f t="array" ref="N100">_xlfn.IFNA(INDEX('کارکرد اداری'!Q:Q,MATCH(C100,'کارکرد اداری'!B:B,0),0),INDEX('کارکرد اداری'!Q:Q,MATCH(D100,'کارکرد اداری'!C:C,0),0))</f>
        <v>#N/A</v>
      </c>
      <c r="O100" s="95" t="e">
        <f t="shared" si="27"/>
        <v>#N/A</v>
      </c>
      <c r="P100" s="101" t="e">
        <f t="shared" si="28"/>
        <v>#N/A</v>
      </c>
      <c r="Q100" s="97"/>
      <c r="R100" s="97"/>
      <c r="S100" s="161"/>
      <c r="T100" s="96"/>
      <c r="U100" s="97"/>
      <c r="V100" s="96"/>
      <c r="W100" s="97"/>
      <c r="X100" s="96"/>
      <c r="Y100" s="94"/>
      <c r="Z100" s="27" t="e">
        <f>VLOOKUP(C100,نهایی!B:B,1,0)</f>
        <v>#N/A</v>
      </c>
      <c r="AA100" s="27" t="e">
        <f>VLOOKUP(D100,نهایی!B:B,1,0)</f>
        <v>#N/A</v>
      </c>
    </row>
    <row r="101" spans="1:28" x14ac:dyDescent="0.25">
      <c r="A101" s="93" t="s">
        <v>352</v>
      </c>
      <c r="B101" s="93"/>
      <c r="C101" s="93">
        <f>_xlfn.XLOOKUP(D101,'کارکرد اداری'!$C$3:$C$106,'کارکرد اداری'!$B$3:$B$106,0,1)</f>
        <v>123</v>
      </c>
      <c r="D101" s="100">
        <v>14166</v>
      </c>
      <c r="E101" s="93" t="s">
        <v>346</v>
      </c>
      <c r="F101" s="133"/>
      <c r="G101" s="98" t="str">
        <f>_xlfn.IFNA(_xlfn.XLOOKUP(D101,'کارکرد اداری'!$C$4:$C$204,'کارکرد اداری'!$N$4:$N$204,"0",0),_xlfn.XLOOKUP(C101,'کارکرد اداری'!$C$4:$C$204,'کارکرد اداری'!$N$4:$N$204,"0",0))</f>
        <v>0</v>
      </c>
      <c r="H101" s="98">
        <f>_xlfn.XLOOKUP(D101,'کارکرد اداری'!$C$4:$C$204,'کارکرد اداری'!$K$4:$K$204,0,1)</f>
        <v>0</v>
      </c>
      <c r="I101" s="98">
        <f>_xlfn.XLOOKUP(D101,'کارکرد اداری'!$C$4:$C$204,'کارکرد اداری'!$I$4:$I$204,0,1)</f>
        <v>0</v>
      </c>
      <c r="J101" s="164" t="e" cm="1">
        <f t="array" ref="J101">_xlfn.IFNA(INDEX('کارکرد اداری'!J:J,MATCH(C101,'کارکرد اداری'!B:B,0),0),INDEX('کارکرد اداری'!J:J,MATCH(D101,'کارکرد اداری'!C:C,0),0))</f>
        <v>#N/A</v>
      </c>
      <c r="K101" s="164" t="e" cm="1">
        <f t="array" ref="K101">_xlfn.IFNA(INDEX('کارکرد اداری'!R:R,MATCH(C101,'کارکرد اداری'!B:B,0),0),INDEX('کارکرد اداری'!R:R,MATCH(D101,'کارکرد اداری'!C:C,0),0))</f>
        <v>#N/A</v>
      </c>
      <c r="L101" s="164" t="e" cm="1">
        <f t="array" ref="L101">_xlfn.IFNA(INDEX('کارکرد اداری'!S:S,MATCH(C101,'کارکرد اداری'!B:B,0),0),INDEX('کارکرد اداری'!S:S,MATCH(D101,'کارکرد اداری'!C:C,0),0))</f>
        <v>#N/A</v>
      </c>
      <c r="M101" s="164" t="e" cm="1">
        <f t="array" ref="M101">_xlfn.IFNA(INDEX('کارکرد اداری'!P:P,MATCH(C101,'کارکرد اداری'!B:B,0),0),INDEX('کارکرد اداری'!P:P,MATCH(D101,'کارکرد اداری'!C:C,0),0))</f>
        <v>#N/A</v>
      </c>
      <c r="N101" s="164" t="e" cm="1">
        <f t="array" ref="N101">_xlfn.IFNA(INDEX('کارکرد اداری'!Q:Q,MATCH(C101,'کارکرد اداری'!B:B,0),0),INDEX('کارکرد اداری'!Q:Q,MATCH(D101,'کارکرد اداری'!C:C,0),0))</f>
        <v>#N/A</v>
      </c>
      <c r="O101" s="95" t="e">
        <f t="shared" si="27"/>
        <v>#N/A</v>
      </c>
      <c r="P101" s="101" t="e">
        <f t="shared" si="28"/>
        <v>#N/A</v>
      </c>
      <c r="Q101" s="97"/>
      <c r="R101" s="97"/>
      <c r="S101" s="161"/>
      <c r="T101" s="96"/>
      <c r="U101" s="97"/>
      <c r="V101" s="96"/>
      <c r="W101" s="97"/>
      <c r="X101" s="96"/>
      <c r="Y101" s="94"/>
      <c r="Z101" s="27" t="e">
        <f>VLOOKUP(C101,نهایی!B:B,1,0)</f>
        <v>#N/A</v>
      </c>
      <c r="AA101" s="27" t="e">
        <f>VLOOKUP(D101,نهایی!B:B,1,0)</f>
        <v>#N/A</v>
      </c>
    </row>
    <row r="102" spans="1:28" x14ac:dyDescent="0.25">
      <c r="A102" s="93" t="s">
        <v>352</v>
      </c>
      <c r="B102" s="93"/>
      <c r="C102" s="93">
        <f>_xlfn.XLOOKUP(D102,'کارکرد اداری'!$C$3:$C$106,'کارکرد اداری'!$B$3:$B$106,0,1)</f>
        <v>952</v>
      </c>
      <c r="D102" s="100">
        <v>14734</v>
      </c>
      <c r="E102" s="93" t="s">
        <v>355</v>
      </c>
      <c r="F102" s="135"/>
      <c r="G102" s="98" t="str">
        <f>_xlfn.IFNA(_xlfn.XLOOKUP(D102,'کارکرد اداری'!$C$4:$C$204,'کارکرد اداری'!$N$4:$N$204,"0",0),_xlfn.XLOOKUP(C102,'کارکرد اداری'!$C$4:$C$204,'کارکرد اداری'!$N$4:$N$204,"0",0))</f>
        <v>0</v>
      </c>
      <c r="H102" s="98">
        <f>_xlfn.XLOOKUP(D102,'کارکرد اداری'!$C$4:$C$204,'کارکرد اداری'!$K$4:$K$204,0,1)</f>
        <v>0</v>
      </c>
      <c r="I102" s="98">
        <f>_xlfn.XLOOKUP(D102,'کارکرد اداری'!$C$4:$C$204,'کارکرد اداری'!$I$4:$I$204,0,1)</f>
        <v>0</v>
      </c>
      <c r="J102" s="164" t="e" cm="1">
        <f t="array" ref="J102">_xlfn.IFNA(INDEX('کارکرد اداری'!J:J,MATCH(C102,'کارکرد اداری'!B:B,0),0),INDEX('کارکرد اداری'!J:J,MATCH(D102,'کارکرد اداری'!C:C,0),0))</f>
        <v>#N/A</v>
      </c>
      <c r="K102" s="164" t="e" cm="1">
        <f t="array" ref="K102">_xlfn.IFNA(INDEX('کارکرد اداری'!R:R,MATCH(C102,'کارکرد اداری'!B:B,0),0),INDEX('کارکرد اداری'!R:R,MATCH(D102,'کارکرد اداری'!C:C,0),0))</f>
        <v>#N/A</v>
      </c>
      <c r="L102" s="164" t="e" cm="1">
        <f t="array" ref="L102">_xlfn.IFNA(INDEX('کارکرد اداری'!S:S,MATCH(C102,'کارکرد اداری'!B:B,0),0),INDEX('کارکرد اداری'!S:S,MATCH(D102,'کارکرد اداری'!C:C,0),0))</f>
        <v>#N/A</v>
      </c>
      <c r="M102" s="164" t="e" cm="1">
        <f t="array" ref="M102">_xlfn.IFNA(INDEX('کارکرد اداری'!P:P,MATCH(C102,'کارکرد اداری'!B:B,0),0),INDEX('کارکرد اداری'!P:P,MATCH(D102,'کارکرد اداری'!C:C,0),0))</f>
        <v>#N/A</v>
      </c>
      <c r="N102" s="164" t="e" cm="1">
        <f t="array" ref="N102">_xlfn.IFNA(INDEX('کارکرد اداری'!Q:Q,MATCH(C102,'کارکرد اداری'!B:B,0),0),INDEX('کارکرد اداری'!Q:Q,MATCH(D102,'کارکرد اداری'!C:C,0),0))</f>
        <v>#N/A</v>
      </c>
      <c r="O102" s="95" t="e">
        <f t="shared" si="27"/>
        <v>#N/A</v>
      </c>
      <c r="P102" s="101" t="e">
        <f t="shared" si="28"/>
        <v>#N/A</v>
      </c>
      <c r="Q102" s="97"/>
      <c r="R102" s="97"/>
      <c r="S102" s="161"/>
      <c r="T102" s="96"/>
      <c r="U102" s="97"/>
      <c r="V102" s="96"/>
      <c r="W102" s="97"/>
      <c r="X102" s="96"/>
      <c r="Y102" s="94"/>
      <c r="Z102" s="27" t="e">
        <f>VLOOKUP(C102,نهایی!B:B,1,0)</f>
        <v>#N/A</v>
      </c>
      <c r="AA102" s="27" t="e">
        <f>VLOOKUP(D102,نهایی!B:B,1,0)</f>
        <v>#N/A</v>
      </c>
    </row>
    <row r="103" spans="1:28" x14ac:dyDescent="0.25">
      <c r="A103" s="93" t="s">
        <v>352</v>
      </c>
      <c r="B103" s="93"/>
      <c r="C103" s="93">
        <v>412</v>
      </c>
      <c r="D103" s="100">
        <v>14403</v>
      </c>
      <c r="E103" s="93" t="s">
        <v>570</v>
      </c>
      <c r="F103" s="133"/>
      <c r="G103" s="98" t="str">
        <f>_xlfn.IFNA(_xlfn.XLOOKUP(D103,'کارکرد اداری'!$C$4:$C$204,'کارکرد اداری'!$N$4:$N$204,"0",0),_xlfn.XLOOKUP(C103,'کارکرد اداری'!$C$4:$C$204,'کارکرد اداری'!$N$4:$N$204,"0",0))</f>
        <v>0</v>
      </c>
      <c r="H103" s="98">
        <f>_xlfn.XLOOKUP(D103,'کارکرد اداری'!$C$4:$C$204,'کارکرد اداری'!$K$4:$K$204,0,1)</f>
        <v>0</v>
      </c>
      <c r="I103" s="98">
        <f>_xlfn.XLOOKUP(D103,'کارکرد اداری'!$C$4:$C$204,'کارکرد اداری'!$I$4:$I$204,0,1)</f>
        <v>0</v>
      </c>
      <c r="J103" s="164" t="e" cm="1">
        <f t="array" ref="J103">_xlfn.IFNA(INDEX('کارکرد اداری'!J:J,MATCH(C103,'کارکرد اداری'!B:B,0),0),INDEX('کارکرد اداری'!J:J,MATCH(D103,'کارکرد اداری'!C:C,0),0))</f>
        <v>#N/A</v>
      </c>
      <c r="K103" s="164" t="e" cm="1">
        <f t="array" ref="K103">_xlfn.IFNA(INDEX('کارکرد اداری'!R:R,MATCH(C103,'کارکرد اداری'!B:B,0),0),INDEX('کارکرد اداری'!R:R,MATCH(D103,'کارکرد اداری'!C:C,0),0))</f>
        <v>#N/A</v>
      </c>
      <c r="L103" s="164" t="e" cm="1">
        <f t="array" ref="L103">_xlfn.IFNA(INDEX('کارکرد اداری'!S:S,MATCH(C103,'کارکرد اداری'!B:B,0),0),INDEX('کارکرد اداری'!S:S,MATCH(D103,'کارکرد اداری'!C:C,0),0))</f>
        <v>#N/A</v>
      </c>
      <c r="M103" s="164" t="e" cm="1">
        <f t="array" ref="M103">_xlfn.IFNA(INDEX('کارکرد اداری'!P:P,MATCH(C103,'کارکرد اداری'!B:B,0),0),INDEX('کارکرد اداری'!P:P,MATCH(D103,'کارکرد اداری'!C:C,0),0))</f>
        <v>#N/A</v>
      </c>
      <c r="N103" s="164" t="e" cm="1">
        <f t="array" ref="N103">_xlfn.IFNA(INDEX('کارکرد اداری'!Q:Q,MATCH(C103,'کارکرد اداری'!B:B,0),0),INDEX('کارکرد اداری'!Q:Q,MATCH(D103,'کارکرد اداری'!C:C,0),0))</f>
        <v>#N/A</v>
      </c>
      <c r="O103" s="100" t="e">
        <f>$F$1-$M$1-G103-H103-I103-J103-3</f>
        <v>#N/A</v>
      </c>
      <c r="P103" s="101" t="e">
        <f t="shared" si="28"/>
        <v>#N/A</v>
      </c>
      <c r="Q103" s="97"/>
      <c r="R103" s="97"/>
      <c r="S103" s="161"/>
      <c r="T103" s="96"/>
      <c r="U103" s="97"/>
      <c r="V103" s="96"/>
      <c r="W103" s="97"/>
      <c r="X103" s="96"/>
      <c r="Y103" s="94"/>
      <c r="Z103" s="27" t="e">
        <f>VLOOKUP(C103,نهایی!B:B,1,0)</f>
        <v>#N/A</v>
      </c>
      <c r="AA103" s="27" t="e">
        <f>VLOOKUP(D103,نهایی!B:B,1,0)</f>
        <v>#N/A</v>
      </c>
    </row>
    <row r="104" spans="1:28" s="62" customFormat="1" x14ac:dyDescent="0.25">
      <c r="A104" s="93" t="s">
        <v>352</v>
      </c>
      <c r="B104" s="93"/>
      <c r="C104" s="93">
        <f>_xlfn.XLOOKUP(D104,'کارکرد اداری'!$C$3:$C$106,'کارکرد اداری'!$B$3:$B$106,0,1)</f>
        <v>1140</v>
      </c>
      <c r="D104" s="100">
        <v>14917</v>
      </c>
      <c r="E104" s="93" t="s">
        <v>465</v>
      </c>
      <c r="F104" s="93"/>
      <c r="G104" s="98" t="str">
        <f>_xlfn.IFNA(_xlfn.XLOOKUP(D104,'کارکرد اداری'!$C$4:$C$204,'کارکرد اداری'!$N$4:$N$204,"0",0),_xlfn.XLOOKUP(C104,'کارکرد اداری'!$C$4:$C$204,'کارکرد اداری'!$N$4:$N$204,"0",0))</f>
        <v>0</v>
      </c>
      <c r="H104" s="98">
        <f>_xlfn.XLOOKUP(D104,'کارکرد اداری'!$C$4:$C$204,'کارکرد اداری'!$K$4:$K$204,0,1)</f>
        <v>0</v>
      </c>
      <c r="I104" s="98">
        <f>_xlfn.XLOOKUP(D104,'کارکرد اداری'!$C$4:$C$204,'کارکرد اداری'!$I$4:$I$204,0,1)</f>
        <v>0</v>
      </c>
      <c r="J104" s="164" t="e" cm="1">
        <f t="array" ref="J104">_xlfn.IFNA(INDEX('کارکرد اداری'!J:J,MATCH(C104,'کارکرد اداری'!B:B,0),0),INDEX('کارکرد اداری'!J:J,MATCH(D104,'کارکرد اداری'!C:C,0),0))</f>
        <v>#N/A</v>
      </c>
      <c r="K104" s="164" t="e" cm="1">
        <f t="array" ref="K104">_xlfn.IFNA(INDEX('کارکرد اداری'!R:R,MATCH(C104,'کارکرد اداری'!B:B,0),0),INDEX('کارکرد اداری'!R:R,MATCH(D104,'کارکرد اداری'!C:C,0),0))</f>
        <v>#N/A</v>
      </c>
      <c r="L104" s="164" t="e" cm="1">
        <f t="array" ref="L104">_xlfn.IFNA(INDEX('کارکرد اداری'!S:S,MATCH(C104,'کارکرد اداری'!B:B,0),0),INDEX('کارکرد اداری'!S:S,MATCH(D104,'کارکرد اداری'!C:C,0),0))</f>
        <v>#N/A</v>
      </c>
      <c r="M104" s="164" t="e" cm="1">
        <f t="array" ref="M104">_xlfn.IFNA(INDEX('کارکرد اداری'!P:P,MATCH(C104,'کارکرد اداری'!B:B,0),0),INDEX('کارکرد اداری'!P:P,MATCH(D104,'کارکرد اداری'!C:C,0),0))</f>
        <v>#N/A</v>
      </c>
      <c r="N104" s="164" t="e" cm="1">
        <f t="array" ref="N104">_xlfn.IFNA(INDEX('کارکرد اداری'!Q:Q,MATCH(C104,'کارکرد اداری'!B:B,0),0),INDEX('کارکرد اداری'!Q:Q,MATCH(D104,'کارکرد اداری'!C:C,0),0))</f>
        <v>#N/A</v>
      </c>
      <c r="O104" s="95" t="e">
        <f>$F$1-$M$1-G104-H104-I104-J104</f>
        <v>#N/A</v>
      </c>
      <c r="P104" s="96" t="e">
        <f t="shared" si="28"/>
        <v>#N/A</v>
      </c>
      <c r="Q104" s="97"/>
      <c r="R104" s="97"/>
      <c r="S104" s="161"/>
      <c r="T104" s="96"/>
      <c r="U104" s="97"/>
      <c r="V104" s="96"/>
      <c r="W104" s="97"/>
      <c r="X104" s="96"/>
      <c r="Y104" s="94"/>
      <c r="Z104" s="27">
        <f>VLOOKUP(C104,نهایی!B:B,1,0)</f>
        <v>1140</v>
      </c>
      <c r="AA104" s="27" t="e">
        <f>VLOOKUP(D104,نهایی!B:B,1,0)</f>
        <v>#N/A</v>
      </c>
      <c r="AB104" s="171"/>
    </row>
    <row r="105" spans="1:28" s="62" customFormat="1" x14ac:dyDescent="0.25">
      <c r="A105" s="127" t="s">
        <v>352</v>
      </c>
      <c r="B105" s="127" t="s">
        <v>352</v>
      </c>
      <c r="C105" s="93">
        <f>_xlfn.XLOOKUP(D105,'کارکرد اداری'!$C$3:$C$106,'کارکرد اداری'!$B$3:$B$106,0,1)</f>
        <v>203</v>
      </c>
      <c r="D105" s="128">
        <v>14242</v>
      </c>
      <c r="E105" s="160" t="s">
        <v>365</v>
      </c>
      <c r="F105" s="127"/>
      <c r="G105" s="98" t="str">
        <f>_xlfn.IFNA(_xlfn.XLOOKUP(D105,'کارکرد اداری'!$C$4:$C$204,'کارکرد اداری'!$N$4:$N$204,"0",0),_xlfn.XLOOKUP(C105,'کارکرد اداری'!$C$4:$C$204,'کارکرد اداری'!$N$4:$N$204,"0",0))</f>
        <v>0</v>
      </c>
      <c r="H105" s="98">
        <f>_xlfn.XLOOKUP(D105,'کارکرد اداری'!$C$4:$C$204,'کارکرد اداری'!$K$4:$K$204,0,1)</f>
        <v>0</v>
      </c>
      <c r="I105" s="98">
        <f>_xlfn.XLOOKUP(D105,'کارکرد اداری'!$C$4:$C$204,'کارکرد اداری'!$I$4:$I$204,0,1)</f>
        <v>0</v>
      </c>
      <c r="J105" s="164" t="e" cm="1">
        <f t="array" ref="J105">_xlfn.IFNA(INDEX('کارکرد اداری'!J:J,MATCH(C105,'کارکرد اداری'!B:B,0),0),INDEX('کارکرد اداری'!J:J,MATCH(D105,'کارکرد اداری'!C:C,0),0))</f>
        <v>#N/A</v>
      </c>
      <c r="K105" s="164" t="e" cm="1">
        <f t="array" ref="K105">_xlfn.IFNA(INDEX('کارکرد اداری'!R:R,MATCH(C105,'کارکرد اداری'!B:B,0),0),INDEX('کارکرد اداری'!R:R,MATCH(D105,'کارکرد اداری'!C:C,0),0))</f>
        <v>#N/A</v>
      </c>
      <c r="L105" s="164" t="e" cm="1">
        <f t="array" ref="L105">_xlfn.IFNA(INDEX('کارکرد اداری'!S:S,MATCH(C105,'کارکرد اداری'!B:B,0),0),INDEX('کارکرد اداری'!S:S,MATCH(D105,'کارکرد اداری'!C:C,0),0))</f>
        <v>#N/A</v>
      </c>
      <c r="M105" s="164" t="e" cm="1">
        <f t="array" ref="M105">_xlfn.IFNA(INDEX('کارکرد اداری'!P:P,MATCH(C105,'کارکرد اداری'!B:B,0),0),INDEX('کارکرد اداری'!P:P,MATCH(D105,'کارکرد اداری'!C:C,0),0))</f>
        <v>#N/A</v>
      </c>
      <c r="N105" s="164" t="e" cm="1">
        <f t="array" ref="N105">_xlfn.IFNA(INDEX('کارکرد اداری'!Q:Q,MATCH(C105,'کارکرد اداری'!B:B,0),0),INDEX('کارکرد اداری'!Q:Q,MATCH(D105,'کارکرد اداری'!C:C,0),0))</f>
        <v>#N/A</v>
      </c>
      <c r="O105" s="95" t="e">
        <f>$F$1-$M$1-G105-H105-I105-J105</f>
        <v>#N/A</v>
      </c>
      <c r="P105" s="96" t="e">
        <f t="shared" si="28"/>
        <v>#N/A</v>
      </c>
      <c r="Q105" s="97"/>
      <c r="R105" s="97"/>
      <c r="S105" s="161"/>
      <c r="T105" s="96"/>
      <c r="U105" s="97"/>
      <c r="V105" s="96"/>
      <c r="W105" s="97"/>
      <c r="X105" s="96"/>
      <c r="Y105" s="94"/>
      <c r="Z105" s="27" t="e">
        <f>VLOOKUP(C105,نهایی!B:B,1,0)</f>
        <v>#N/A</v>
      </c>
      <c r="AA105" s="27">
        <f>VLOOKUP(D105,نهایی!B:B,1,0)</f>
        <v>14242</v>
      </c>
      <c r="AB105" s="171"/>
    </row>
    <row r="106" spans="1:28" s="71" customFormat="1" x14ac:dyDescent="0.25">
      <c r="A106" s="93" t="s">
        <v>352</v>
      </c>
      <c r="B106" s="93" t="s">
        <v>590</v>
      </c>
      <c r="C106" s="93">
        <v>1168</v>
      </c>
      <c r="D106" s="100">
        <v>1168</v>
      </c>
      <c r="E106" s="158" t="s">
        <v>501</v>
      </c>
      <c r="F106" s="93"/>
      <c r="G106" s="98" t="e">
        <f>_xlfn.IFNA(_xlfn.XLOOKUP(D106,'کارکرد اداری'!$C$4:$C$204,'کارکرد اداری'!$N$4:$N$204,"0",0),_xlfn.XLOOKUP(C106,'کارکرد اداری'!$C$4:$C$204,'کارکرد اداری'!$N$4:$N$204,"0",0))</f>
        <v>#N/A</v>
      </c>
      <c r="H106" s="98">
        <f>_xlfn.XLOOKUP(D106,'کارکرد اداری'!$C$4:$C$204,'کارکرد اداری'!$K$4:$K$204,0,1)</f>
        <v>0</v>
      </c>
      <c r="I106" s="98">
        <f>_xlfn.XLOOKUP(D106,'کارکرد اداری'!$C$4:$C$204,'کارکرد اداری'!$I$4:$I$204,0,1)</f>
        <v>0</v>
      </c>
      <c r="J106" s="164" t="e" cm="1">
        <f t="array" ref="J106">_xlfn.IFNA(INDEX('کارکرد اداری'!J:J,MATCH(C106,'کارکرد اداری'!B:B,0),0),INDEX('کارکرد اداری'!J:J,MATCH(D106,'کارکرد اداری'!C:C,0),0))</f>
        <v>#N/A</v>
      </c>
      <c r="K106" s="164" t="e" cm="1">
        <f t="array" ref="K106">_xlfn.IFNA(INDEX('کارکرد اداری'!R:R,MATCH(C106,'کارکرد اداری'!B:B,0),0),INDEX('کارکرد اداری'!R:R,MATCH(D106,'کارکرد اداری'!C:C,0),0))</f>
        <v>#N/A</v>
      </c>
      <c r="L106" s="164" t="e" cm="1">
        <f t="array" ref="L106">_xlfn.IFNA(INDEX('کارکرد اداری'!S:S,MATCH(C106,'کارکرد اداری'!B:B,0),0),INDEX('کارکرد اداری'!S:S,MATCH(D106,'کارکرد اداری'!C:C,0),0))</f>
        <v>#N/A</v>
      </c>
      <c r="M106" s="164" t="e" cm="1">
        <f t="array" ref="M106">_xlfn.IFNA(INDEX('کارکرد اداری'!P:P,MATCH(C106,'کارکرد اداری'!B:B,0),0),INDEX('کارکرد اداری'!P:P,MATCH(D106,'کارکرد اداری'!C:C,0),0))</f>
        <v>#N/A</v>
      </c>
      <c r="N106" s="164" t="e" cm="1">
        <f t="array" ref="N106">_xlfn.IFNA(INDEX('کارکرد اداری'!Q:Q,MATCH(C106,'کارکرد اداری'!B:B,0),0),INDEX('کارکرد اداری'!Q:Q,MATCH(D106,'کارکرد اداری'!C:C,0),0))</f>
        <v>#N/A</v>
      </c>
      <c r="O106" s="100" t="e">
        <f>$F$1-$M$1-G106-H106-I106-J106</f>
        <v>#N/A</v>
      </c>
      <c r="P106" s="96" t="e">
        <f t="shared" si="28"/>
        <v>#N/A</v>
      </c>
      <c r="Q106" s="97"/>
      <c r="R106" s="97"/>
      <c r="S106" s="161"/>
      <c r="T106" s="96"/>
      <c r="U106" s="97"/>
      <c r="V106" s="96"/>
      <c r="W106" s="97"/>
      <c r="X106" s="96"/>
      <c r="Y106" s="94"/>
      <c r="Z106" s="27">
        <f>VLOOKUP(C106,نهایی!B:B,1,0)</f>
        <v>1168</v>
      </c>
      <c r="AA106" s="27">
        <f>VLOOKUP(D106,نهایی!B:B,1,0)</f>
        <v>1168</v>
      </c>
      <c r="AB106" s="173"/>
    </row>
  </sheetData>
  <autoFilter ref="A2:Y106" xr:uid="{00000000-0001-0000-0100-000000000000}">
    <sortState xmlns:xlrd2="http://schemas.microsoft.com/office/spreadsheetml/2017/richdata2" ref="A3:Y106">
      <sortCondition descending="1" ref="Y2:Y103"/>
    </sortState>
  </autoFilter>
  <sortState xmlns:xlrd2="http://schemas.microsoft.com/office/spreadsheetml/2017/richdata2" ref="A32:H32">
    <sortCondition ref="D32"/>
  </sortState>
  <conditionalFormatting sqref="D1:D1048576">
    <cfRule type="timePeriod" dxfId="20" priority="26" timePeriod="yesterday">
      <formula>FLOOR(D1,1)=TODAY()-1</formula>
    </cfRule>
  </conditionalFormatting>
  <conditionalFormatting sqref="D4">
    <cfRule type="duplicateValues" dxfId="19" priority="647"/>
  </conditionalFormatting>
  <conditionalFormatting sqref="D44">
    <cfRule type="duplicateValues" dxfId="18" priority="7"/>
  </conditionalFormatting>
  <conditionalFormatting sqref="D45 D6">
    <cfRule type="duplicateValues" dxfId="17" priority="489"/>
  </conditionalFormatting>
  <conditionalFormatting sqref="D46 D7:D12">
    <cfRule type="duplicateValues" dxfId="16" priority="1141"/>
  </conditionalFormatting>
  <conditionalFormatting sqref="D46">
    <cfRule type="duplicateValues" dxfId="15" priority="6"/>
  </conditionalFormatting>
  <conditionalFormatting sqref="D87">
    <cfRule type="duplicateValues" dxfId="14" priority="23"/>
  </conditionalFormatting>
  <conditionalFormatting sqref="D104:D105 D83:D86 D69:D70 D47 D5 D13:D17 D41:D44">
    <cfRule type="duplicateValues" dxfId="13" priority="1242"/>
  </conditionalFormatting>
  <conditionalFormatting sqref="D106:D1048576 D43 D1 D3 D18:D40 D47:D82 D86 D88:D103">
    <cfRule type="duplicateValues" dxfId="12" priority="1215"/>
  </conditionalFormatting>
  <conditionalFormatting sqref="E1:E1048576">
    <cfRule type="duplicateValues" dxfId="11" priority="22"/>
    <cfRule type="duplicateValues" dxfId="10" priority="25"/>
    <cfRule type="duplicateValues" dxfId="9" priority="27"/>
  </conditionalFormatting>
  <conditionalFormatting sqref="E4">
    <cfRule type="duplicateValues" dxfId="8" priority="649"/>
  </conditionalFormatting>
  <conditionalFormatting sqref="E45 E3:E6">
    <cfRule type="duplicateValues" dxfId="7" priority="486"/>
  </conditionalFormatting>
  <conditionalFormatting sqref="E46 E7:E12">
    <cfRule type="duplicateValues" dxfId="6" priority="1161"/>
  </conditionalFormatting>
  <conditionalFormatting sqref="E87">
    <cfRule type="duplicateValues" dxfId="5" priority="24"/>
  </conditionalFormatting>
  <conditionalFormatting sqref="E104:E105 E83:E86 E69:E70 E47 E5 E13:E17 E41:E44">
    <cfRule type="duplicateValues" dxfId="4" priority="1256"/>
  </conditionalFormatting>
  <conditionalFormatting sqref="E106:E1048576 E1 E3 E18:E40 E88:E103 E86 E48:E82">
    <cfRule type="duplicateValues" dxfId="3" priority="1239"/>
  </conditionalFormatting>
  <conditionalFormatting sqref="Z3:AA106">
    <cfRule type="cellIs" dxfId="2" priority="2" operator="equal">
      <formula>#N/A</formula>
    </cfRule>
  </conditionalFormatting>
  <conditionalFormatting sqref="AA2">
    <cfRule type="timePeriod" dxfId="1" priority="3" timePeriod="yesterday">
      <formula>FLOOR(AA2,1)=TODAY()-1</formula>
    </cfRule>
  </conditionalFormatting>
  <pageMargins left="0" right="0" top="0" bottom="0" header="0" footer="0"/>
  <pageSetup paperSize="9" scale="43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T106"/>
  <sheetViews>
    <sheetView rightToLeft="1" topLeftCell="B1" zoomScaleNormal="100" workbookViewId="0">
      <pane xSplit="3" ySplit="3" topLeftCell="E4" activePane="bottomRight" state="frozen"/>
      <selection activeCell="B1" sqref="B1"/>
      <selection pane="topRight" activeCell="D1" sqref="D1"/>
      <selection pane="bottomLeft" activeCell="B3" sqref="B3"/>
      <selection pane="bottomRight" activeCell="J10" sqref="J10"/>
    </sheetView>
  </sheetViews>
  <sheetFormatPr defaultRowHeight="15" x14ac:dyDescent="0.25"/>
  <cols>
    <col min="1" max="2" width="9.85546875" style="72" customWidth="1"/>
    <col min="3" max="3" width="13.28515625" style="73" customWidth="1"/>
    <col min="4" max="4" width="19.28515625" style="63" customWidth="1"/>
    <col min="5" max="5" width="6.42578125" style="63" customWidth="1"/>
    <col min="6" max="6" width="11.140625" style="63" customWidth="1"/>
    <col min="7" max="7" width="11" style="63" customWidth="1"/>
    <col min="8" max="8" width="6.7109375" style="63" customWidth="1"/>
    <col min="9" max="9" width="7.42578125" style="63" customWidth="1"/>
    <col min="10" max="10" width="7.7109375" style="63" customWidth="1"/>
    <col min="11" max="11" width="6.28515625" style="63" customWidth="1"/>
    <col min="12" max="12" width="9.28515625" style="63" customWidth="1"/>
    <col min="13" max="13" width="7.42578125" style="63" customWidth="1"/>
    <col min="14" max="14" width="7.7109375" style="64" customWidth="1"/>
    <col min="15" max="15" width="11.140625" style="63" customWidth="1"/>
    <col min="16" max="19" width="9.140625" style="63"/>
  </cols>
  <sheetData>
    <row r="1" spans="1:20" ht="11.25" customHeight="1" x14ac:dyDescent="0.25">
      <c r="C1" s="63">
        <v>1</v>
      </c>
      <c r="D1" s="63">
        <v>2</v>
      </c>
      <c r="E1" s="63">
        <v>3</v>
      </c>
      <c r="F1" s="63">
        <v>4</v>
      </c>
      <c r="G1" s="63">
        <v>5</v>
      </c>
      <c r="H1" s="63">
        <v>6</v>
      </c>
      <c r="I1" s="63">
        <v>7</v>
      </c>
      <c r="J1" s="63">
        <v>8</v>
      </c>
      <c r="K1" s="63">
        <v>9</v>
      </c>
      <c r="L1" s="63">
        <v>10</v>
      </c>
      <c r="M1" s="63">
        <v>11</v>
      </c>
      <c r="N1" s="63">
        <v>12</v>
      </c>
      <c r="O1" s="63">
        <v>13</v>
      </c>
      <c r="P1" s="63">
        <v>14</v>
      </c>
      <c r="Q1" s="63">
        <v>15</v>
      </c>
      <c r="R1" s="63">
        <v>16</v>
      </c>
      <c r="S1" s="63">
        <v>17</v>
      </c>
    </row>
    <row r="2" spans="1:20" ht="39.75" x14ac:dyDescent="0.25">
      <c r="A2" s="165" t="s">
        <v>546</v>
      </c>
      <c r="B2" s="166"/>
      <c r="C2" s="166"/>
      <c r="D2" s="166"/>
      <c r="E2" s="166"/>
      <c r="F2" s="166"/>
      <c r="G2" s="166"/>
      <c r="H2" s="166"/>
      <c r="I2" s="166"/>
      <c r="J2" s="166"/>
      <c r="K2" s="166"/>
      <c r="L2" s="166"/>
      <c r="M2" s="166"/>
      <c r="N2" s="166"/>
      <c r="O2" s="167"/>
      <c r="P2" s="168" t="s">
        <v>297</v>
      </c>
      <c r="Q2" s="168"/>
      <c r="R2" s="168" t="s">
        <v>298</v>
      </c>
      <c r="S2" s="168"/>
    </row>
    <row r="3" spans="1:20" s="89" customFormat="1" ht="30" customHeight="1" x14ac:dyDescent="0.25">
      <c r="A3" s="85" t="s">
        <v>356</v>
      </c>
      <c r="B3" s="85" t="s">
        <v>356</v>
      </c>
      <c r="C3" s="86" t="s">
        <v>299</v>
      </c>
      <c r="D3" s="85" t="s">
        <v>323</v>
      </c>
      <c r="E3" s="85" t="s">
        <v>312</v>
      </c>
      <c r="F3" s="85" t="s">
        <v>313</v>
      </c>
      <c r="G3" s="85" t="s">
        <v>314</v>
      </c>
      <c r="H3" s="85" t="s">
        <v>300</v>
      </c>
      <c r="I3" s="85" t="s">
        <v>315</v>
      </c>
      <c r="J3" s="85" t="s">
        <v>301</v>
      </c>
      <c r="K3" s="85" t="s">
        <v>316</v>
      </c>
      <c r="L3" s="85" t="s">
        <v>317</v>
      </c>
      <c r="M3" s="85" t="s">
        <v>212</v>
      </c>
      <c r="N3" s="87" t="s">
        <v>318</v>
      </c>
      <c r="O3" s="85" t="s">
        <v>319</v>
      </c>
      <c r="P3" s="88" t="s">
        <v>302</v>
      </c>
      <c r="Q3" s="88" t="s">
        <v>303</v>
      </c>
      <c r="R3" s="88" t="s">
        <v>302</v>
      </c>
      <c r="S3" s="88" t="s">
        <v>303</v>
      </c>
    </row>
    <row r="4" spans="1:20" s="69" customFormat="1" ht="21" x14ac:dyDescent="0.55000000000000004">
      <c r="A4" s="76"/>
      <c r="B4" s="102">
        <v>1195</v>
      </c>
      <c r="C4" s="102">
        <v>1195</v>
      </c>
      <c r="D4" s="77" t="s">
        <v>573</v>
      </c>
      <c r="E4" s="78" t="e">
        <f>VLOOKUP($B4,'اداری 1'!C:AB,4,0)</f>
        <v>#N/A</v>
      </c>
      <c r="F4" s="78" t="e">
        <f>VLOOKUP($B4,'اداری 1'!$C:$AA,13,0)</f>
        <v>#N/A</v>
      </c>
      <c r="G4" s="78" t="e">
        <f>VLOOKUP($B4,'اداری 1'!$C:$AA,13,0)</f>
        <v>#N/A</v>
      </c>
      <c r="H4" s="78" t="e">
        <f>VLOOKUP($B4,'اداری 1'!$C:$AA,20,0)</f>
        <v>#N/A</v>
      </c>
      <c r="I4" s="66">
        <v>0</v>
      </c>
      <c r="J4" s="78" t="e">
        <f>IF(VLOOKUP($B4,'اداری 1'!$C:$AA,21,0)="",0,VLOOKUP($B4,'اداری 1'!$C:$AA,21,0))</f>
        <v>#N/A</v>
      </c>
      <c r="K4" s="78">
        <v>0</v>
      </c>
      <c r="L4" s="78">
        <v>0</v>
      </c>
      <c r="M4" s="78">
        <v>0</v>
      </c>
      <c r="N4" s="78" t="e">
        <f>IF(VLOOKUP($B4,'اداری 1'!$C:$AA,17,0)="",0,VLOOKUP($B4,'اداری 1'!$C:$AA,17,0))</f>
        <v>#N/A</v>
      </c>
      <c r="O4" s="67">
        <v>0</v>
      </c>
      <c r="P4" s="68" t="e">
        <f t="shared" ref="P4:P35" si="0">DAY(F4)*24+HOUR(F4)</f>
        <v>#N/A</v>
      </c>
      <c r="Q4" s="155" t="e">
        <f t="shared" ref="Q4:Q35" si="1">MINUTE(F4)</f>
        <v>#N/A</v>
      </c>
      <c r="R4" s="68" t="e">
        <f t="shared" ref="R4:R35" si="2">DAY(H4)*24+HOUR(H4)</f>
        <v>#N/A</v>
      </c>
      <c r="S4" s="68" t="e">
        <f t="shared" ref="S4:S35" si="3">MINUTE(H4)</f>
        <v>#N/A</v>
      </c>
      <c r="T4" s="107">
        <f>VLOOKUP(C4,'خلاصه عملکرد'!D:E,1,0)</f>
        <v>1195</v>
      </c>
    </row>
    <row r="5" spans="1:20" s="69" customFormat="1" ht="21" x14ac:dyDescent="0.55000000000000004">
      <c r="A5" s="76"/>
      <c r="B5" s="102">
        <v>1192</v>
      </c>
      <c r="C5" s="102">
        <v>1192</v>
      </c>
      <c r="D5" s="77" t="s">
        <v>571</v>
      </c>
      <c r="E5" s="78" t="e">
        <f>VLOOKUP($B5,'اداری 1'!C:AB,4,0)</f>
        <v>#N/A</v>
      </c>
      <c r="F5" s="78" t="e">
        <f>VLOOKUP($B5,'اداری 1'!$C:$AA,13,0)</f>
        <v>#N/A</v>
      </c>
      <c r="G5" s="78" t="e">
        <f>VLOOKUP($B5,'اداری 1'!$C:$AA,13,0)</f>
        <v>#N/A</v>
      </c>
      <c r="H5" s="78" t="e">
        <f>VLOOKUP($B5,'اداری 1'!$C:$AA,20,0)</f>
        <v>#N/A</v>
      </c>
      <c r="I5" s="66">
        <v>0</v>
      </c>
      <c r="J5" s="78" t="e">
        <f>IF(VLOOKUP($B5,'اداری 1'!$C:$AA,21,0)="",0,VLOOKUP($B5,'اداری 1'!$C:$AA,21,0))</f>
        <v>#N/A</v>
      </c>
      <c r="K5" s="78">
        <v>0</v>
      </c>
      <c r="L5" s="78">
        <v>0</v>
      </c>
      <c r="M5" s="78">
        <v>0</v>
      </c>
      <c r="N5" s="78" t="e">
        <f>IF(VLOOKUP($B5,'اداری 1'!$C:$AA,17,0)="",0,VLOOKUP($B5,'اداری 1'!$C:$AA,17,0))</f>
        <v>#N/A</v>
      </c>
      <c r="O5" s="67">
        <v>0</v>
      </c>
      <c r="P5" s="68" t="e">
        <f t="shared" si="0"/>
        <v>#N/A</v>
      </c>
      <c r="Q5" s="155" t="e">
        <f t="shared" si="1"/>
        <v>#N/A</v>
      </c>
      <c r="R5" s="68" t="e">
        <f t="shared" si="2"/>
        <v>#N/A</v>
      </c>
      <c r="S5" s="68" t="e">
        <f t="shared" si="3"/>
        <v>#N/A</v>
      </c>
      <c r="T5" s="107">
        <f>VLOOKUP(C5,'خلاصه عملکرد'!D:E,1,0)</f>
        <v>1192</v>
      </c>
    </row>
    <row r="6" spans="1:20" s="69" customFormat="1" ht="21" x14ac:dyDescent="0.55000000000000004">
      <c r="A6" s="76"/>
      <c r="B6" s="102">
        <v>1193</v>
      </c>
      <c r="C6" s="102">
        <v>1193</v>
      </c>
      <c r="D6" s="77" t="s">
        <v>572</v>
      </c>
      <c r="E6" s="78" t="e">
        <f>VLOOKUP($B6,'اداری 1'!C:AB,4,0)</f>
        <v>#N/A</v>
      </c>
      <c r="F6" s="78" t="e">
        <f>VLOOKUP($B6,'اداری 1'!$C:$AA,13,0)</f>
        <v>#N/A</v>
      </c>
      <c r="G6" s="78" t="e">
        <f>VLOOKUP($B6,'اداری 1'!$C:$AA,13,0)</f>
        <v>#N/A</v>
      </c>
      <c r="H6" s="78" t="e">
        <f>VLOOKUP($B6,'اداری 1'!$C:$AA,20,0)</f>
        <v>#N/A</v>
      </c>
      <c r="I6" s="66">
        <v>0</v>
      </c>
      <c r="J6" s="78" t="e">
        <f>IF(VLOOKUP($B6,'اداری 1'!$C:$AA,21,0)="",0,VLOOKUP($B6,'اداری 1'!$C:$AA,21,0))</f>
        <v>#N/A</v>
      </c>
      <c r="K6" s="78">
        <v>0</v>
      </c>
      <c r="L6" s="78">
        <v>0</v>
      </c>
      <c r="M6" s="78">
        <v>0</v>
      </c>
      <c r="N6" s="78" t="e">
        <f>IF(VLOOKUP($B6,'اداری 1'!$C:$AA,17,0)="",0,VLOOKUP($B6,'اداری 1'!$C:$AA,17,0))</f>
        <v>#N/A</v>
      </c>
      <c r="O6" s="67">
        <v>0</v>
      </c>
      <c r="P6" s="68" t="e">
        <f t="shared" si="0"/>
        <v>#N/A</v>
      </c>
      <c r="Q6" s="155" t="e">
        <f t="shared" si="1"/>
        <v>#N/A</v>
      </c>
      <c r="R6" s="68" t="e">
        <f t="shared" si="2"/>
        <v>#N/A</v>
      </c>
      <c r="S6" s="68" t="e">
        <f t="shared" si="3"/>
        <v>#N/A</v>
      </c>
      <c r="T6" s="107">
        <f>VLOOKUP(C6,'خلاصه عملکرد'!D:E,1,0)</f>
        <v>1193</v>
      </c>
    </row>
    <row r="7" spans="1:20" s="69" customFormat="1" ht="21" x14ac:dyDescent="0.55000000000000004">
      <c r="A7" s="76">
        <v>402</v>
      </c>
      <c r="B7" s="102">
        <v>412</v>
      </c>
      <c r="C7" s="102">
        <v>14403</v>
      </c>
      <c r="D7" s="77" t="s">
        <v>570</v>
      </c>
      <c r="E7" s="78" t="e">
        <f>VLOOKUP($B7,'اداری 1'!C:AB,4,0)</f>
        <v>#N/A</v>
      </c>
      <c r="F7" s="78" t="e">
        <f>VLOOKUP($B7,'اداری 1'!$C:$AA,13,0)</f>
        <v>#N/A</v>
      </c>
      <c r="G7" s="78" t="e">
        <f>VLOOKUP($B7,'اداری 1'!$C:$AA,13,0)</f>
        <v>#N/A</v>
      </c>
      <c r="H7" s="78" t="e">
        <f>VLOOKUP($B7,'اداری 1'!$C:$AA,20,0)</f>
        <v>#N/A</v>
      </c>
      <c r="I7" s="66">
        <v>0</v>
      </c>
      <c r="J7" s="78" t="e">
        <f>IF(VLOOKUP($B7,'اداری 1'!$C:$AA,21,0)="",0,VLOOKUP($B7,'اداری 1'!$C:$AA,21,0))</f>
        <v>#N/A</v>
      </c>
      <c r="K7" s="78">
        <v>0</v>
      </c>
      <c r="L7" s="78">
        <v>0</v>
      </c>
      <c r="M7" s="78">
        <v>0</v>
      </c>
      <c r="N7" s="78" t="e">
        <f>IF(VLOOKUP($B7,'اداری 1'!$C:$AA,17,0)="",0,VLOOKUP($B7,'اداری 1'!$C:$AA,17,0))</f>
        <v>#N/A</v>
      </c>
      <c r="O7" s="67">
        <v>0</v>
      </c>
      <c r="P7" s="68" t="e">
        <f t="shared" si="0"/>
        <v>#N/A</v>
      </c>
      <c r="Q7" s="155" t="e">
        <f t="shared" si="1"/>
        <v>#N/A</v>
      </c>
      <c r="R7" s="68" t="e">
        <f t="shared" si="2"/>
        <v>#N/A</v>
      </c>
      <c r="S7" s="68" t="e">
        <f t="shared" si="3"/>
        <v>#N/A</v>
      </c>
      <c r="T7" s="107">
        <f>VLOOKUP(C7,'خلاصه عملکرد'!D:E,1,0)</f>
        <v>14403</v>
      </c>
    </row>
    <row r="8" spans="1:20" s="69" customFormat="1" ht="21" x14ac:dyDescent="0.55000000000000004">
      <c r="A8" s="76"/>
      <c r="B8" s="102">
        <v>1122</v>
      </c>
      <c r="C8" s="102">
        <v>14910</v>
      </c>
      <c r="D8" s="77" t="s">
        <v>454</v>
      </c>
      <c r="E8" s="78" t="e">
        <f>VLOOKUP($B8,'اداری 1'!C:AB,4,0)</f>
        <v>#N/A</v>
      </c>
      <c r="F8" s="78" t="e">
        <f>VLOOKUP($B8,'اداری 1'!$C:$AA,13,0)</f>
        <v>#N/A</v>
      </c>
      <c r="G8" s="78" t="e">
        <f>VLOOKUP($B8,'اداری 1'!$C:$AA,13,0)</f>
        <v>#N/A</v>
      </c>
      <c r="H8" s="78" t="e">
        <f>VLOOKUP($B8,'اداری 1'!$C:$AA,20,0)</f>
        <v>#N/A</v>
      </c>
      <c r="I8" s="66">
        <v>0</v>
      </c>
      <c r="J8" s="78" t="e">
        <f>IF(VLOOKUP($B8,'اداری 1'!$C:$AA,21,0)="",0,VLOOKUP($B8,'اداری 1'!$C:$AA,21,0))</f>
        <v>#N/A</v>
      </c>
      <c r="K8" s="78">
        <v>0</v>
      </c>
      <c r="L8" s="78">
        <v>0</v>
      </c>
      <c r="M8" s="78">
        <v>0</v>
      </c>
      <c r="N8" s="78" t="e">
        <f>IF(VLOOKUP($B8,'اداری 1'!$C:$AA,17,0)="",0,VLOOKUP($B8,'اداری 1'!$C:$AA,17,0))</f>
        <v>#N/A</v>
      </c>
      <c r="O8" s="67">
        <v>0</v>
      </c>
      <c r="P8" s="68" t="e">
        <f t="shared" si="0"/>
        <v>#N/A</v>
      </c>
      <c r="Q8" s="155" t="e">
        <f t="shared" si="1"/>
        <v>#N/A</v>
      </c>
      <c r="R8" s="68" t="e">
        <f t="shared" si="2"/>
        <v>#N/A</v>
      </c>
      <c r="S8" s="68" t="e">
        <f t="shared" si="3"/>
        <v>#N/A</v>
      </c>
      <c r="T8" s="107">
        <f>VLOOKUP(C8,'خلاصه عملکرد'!D:E,1,0)</f>
        <v>14910</v>
      </c>
    </row>
    <row r="9" spans="1:20" s="69" customFormat="1" ht="21" x14ac:dyDescent="0.55000000000000004">
      <c r="A9" s="76"/>
      <c r="B9" s="102">
        <v>1120</v>
      </c>
      <c r="C9" s="102">
        <v>14899</v>
      </c>
      <c r="D9" s="77" t="s">
        <v>436</v>
      </c>
      <c r="E9" s="78" t="e">
        <f>VLOOKUP($B9,'اداری 1'!C:AB,4,0)</f>
        <v>#N/A</v>
      </c>
      <c r="F9" s="78" t="e">
        <f>VLOOKUP($B9,'اداری 1'!$C:$AA,13,0)</f>
        <v>#N/A</v>
      </c>
      <c r="G9" s="78" t="e">
        <f>VLOOKUP($B9,'اداری 1'!$C:$AA,13,0)</f>
        <v>#N/A</v>
      </c>
      <c r="H9" s="78" t="e">
        <f>VLOOKUP($B9,'اداری 1'!$C:$AA,20,0)</f>
        <v>#N/A</v>
      </c>
      <c r="I9" s="66">
        <v>0</v>
      </c>
      <c r="J9" s="78" t="e">
        <f>IF(VLOOKUP($B9,'اداری 1'!$C:$AA,21,0)="",0,VLOOKUP($B9,'اداری 1'!$C:$AA,21,0))</f>
        <v>#N/A</v>
      </c>
      <c r="K9" s="78">
        <v>0</v>
      </c>
      <c r="L9" s="78">
        <v>0</v>
      </c>
      <c r="M9" s="78">
        <v>0</v>
      </c>
      <c r="N9" s="78" t="e">
        <f>IF(VLOOKUP($B9,'اداری 1'!$C:$AA,17,0)="",0,VLOOKUP($B9,'اداری 1'!$C:$AA,17,0))</f>
        <v>#N/A</v>
      </c>
      <c r="O9" s="67">
        <v>0</v>
      </c>
      <c r="P9" s="68" t="e">
        <f t="shared" si="0"/>
        <v>#N/A</v>
      </c>
      <c r="Q9" s="155" t="e">
        <f t="shared" si="1"/>
        <v>#N/A</v>
      </c>
      <c r="R9" s="68" t="e">
        <f t="shared" si="2"/>
        <v>#N/A</v>
      </c>
      <c r="S9" s="68" t="e">
        <f t="shared" si="3"/>
        <v>#N/A</v>
      </c>
      <c r="T9" s="107">
        <f>VLOOKUP(C9,'خلاصه عملکرد'!D:E,1,0)</f>
        <v>14899</v>
      </c>
    </row>
    <row r="10" spans="1:20" s="69" customFormat="1" ht="21" x14ac:dyDescent="0.55000000000000004">
      <c r="A10" s="76"/>
      <c r="B10" s="102">
        <v>1171</v>
      </c>
      <c r="C10" s="102">
        <v>1171</v>
      </c>
      <c r="D10" s="77" t="s">
        <v>502</v>
      </c>
      <c r="E10" s="78" t="e">
        <f>VLOOKUP($B10,'اداری 1'!C:AB,4,0)</f>
        <v>#N/A</v>
      </c>
      <c r="F10" s="78" t="e">
        <f>VLOOKUP($B10,'اداری 1'!$C:$AA,13,0)</f>
        <v>#N/A</v>
      </c>
      <c r="G10" s="78" t="e">
        <f>VLOOKUP($B10,'اداری 1'!$C:$AA,13,0)</f>
        <v>#N/A</v>
      </c>
      <c r="H10" s="78" t="e">
        <f>VLOOKUP($B10,'اداری 1'!$C:$AA,20,0)</f>
        <v>#N/A</v>
      </c>
      <c r="I10" s="66">
        <v>0</v>
      </c>
      <c r="J10" s="78" t="e">
        <f>IF(VLOOKUP($B10,'اداری 1'!$C:$AA,21,0)="",0,VLOOKUP($B10,'اداری 1'!$C:$AA,21,0))</f>
        <v>#N/A</v>
      </c>
      <c r="K10" s="78">
        <v>0</v>
      </c>
      <c r="L10" s="78">
        <v>0</v>
      </c>
      <c r="M10" s="78">
        <v>0</v>
      </c>
      <c r="N10" s="78" t="e">
        <f>IF(VLOOKUP($B10,'اداری 1'!$C:$AA,17,0)="",0,VLOOKUP($B10,'اداری 1'!$C:$AA,17,0))</f>
        <v>#N/A</v>
      </c>
      <c r="O10" s="67">
        <v>0</v>
      </c>
      <c r="P10" s="68" t="e">
        <f t="shared" si="0"/>
        <v>#N/A</v>
      </c>
      <c r="Q10" s="155" t="e">
        <f t="shared" si="1"/>
        <v>#N/A</v>
      </c>
      <c r="R10" s="68" t="e">
        <f t="shared" si="2"/>
        <v>#N/A</v>
      </c>
      <c r="S10" s="68" t="e">
        <f t="shared" si="3"/>
        <v>#N/A</v>
      </c>
      <c r="T10" s="107">
        <f>VLOOKUP(C10,'خلاصه عملکرد'!D:E,1,0)</f>
        <v>1171</v>
      </c>
    </row>
    <row r="11" spans="1:20" s="69" customFormat="1" ht="21" x14ac:dyDescent="0.55000000000000004">
      <c r="A11" s="76"/>
      <c r="B11" s="102">
        <v>1182</v>
      </c>
      <c r="C11" s="102">
        <v>1182</v>
      </c>
      <c r="D11" s="77" t="s">
        <v>542</v>
      </c>
      <c r="E11" s="78" t="e">
        <f>VLOOKUP($B11,'اداری 1'!C:AB,4,0)</f>
        <v>#N/A</v>
      </c>
      <c r="F11" s="78" t="e">
        <f>VLOOKUP($B11,'اداری 1'!$C:$AA,13,0)</f>
        <v>#N/A</v>
      </c>
      <c r="G11" s="78" t="e">
        <f>VLOOKUP($B11,'اداری 1'!$C:$AA,13,0)</f>
        <v>#N/A</v>
      </c>
      <c r="H11" s="78" t="e">
        <f>VLOOKUP($B11,'اداری 1'!$C:$AA,20,0)</f>
        <v>#N/A</v>
      </c>
      <c r="I11" s="66">
        <v>0</v>
      </c>
      <c r="J11" s="78" t="e">
        <f>IF(VLOOKUP($B11,'اداری 1'!$C:$AA,21,0)="",0,VLOOKUP($B11,'اداری 1'!$C:$AA,21,0))</f>
        <v>#N/A</v>
      </c>
      <c r="K11" s="78">
        <v>0</v>
      </c>
      <c r="L11" s="78">
        <v>0</v>
      </c>
      <c r="M11" s="78">
        <v>0</v>
      </c>
      <c r="N11" s="78" t="e">
        <f>IF(VLOOKUP($B11,'اداری 1'!$C:$AA,17,0)="",0,VLOOKUP($B11,'اداری 1'!$C:$AA,17,0))</f>
        <v>#N/A</v>
      </c>
      <c r="O11" s="67">
        <v>0</v>
      </c>
      <c r="P11" s="68" t="e">
        <f t="shared" si="0"/>
        <v>#N/A</v>
      </c>
      <c r="Q11" s="155" t="e">
        <f t="shared" si="1"/>
        <v>#N/A</v>
      </c>
      <c r="R11" s="68" t="e">
        <f t="shared" si="2"/>
        <v>#N/A</v>
      </c>
      <c r="S11" s="68" t="e">
        <f t="shared" si="3"/>
        <v>#N/A</v>
      </c>
      <c r="T11" s="107">
        <f>VLOOKUP(C11,'خلاصه عملکرد'!D:E,1,0)</f>
        <v>1182</v>
      </c>
    </row>
    <row r="12" spans="1:20" s="69" customFormat="1" ht="21" x14ac:dyDescent="0.55000000000000004">
      <c r="A12" s="76">
        <v>560</v>
      </c>
      <c r="B12" s="102">
        <v>525</v>
      </c>
      <c r="C12" s="102">
        <v>14478</v>
      </c>
      <c r="D12" s="77" t="s">
        <v>347</v>
      </c>
      <c r="E12" s="78" t="e">
        <f>VLOOKUP($B12,'اداری 1'!C:AB,4,0)</f>
        <v>#N/A</v>
      </c>
      <c r="F12" s="78" t="e">
        <f>VLOOKUP($B12,'اداری 1'!$C:$AA,13,0)</f>
        <v>#N/A</v>
      </c>
      <c r="G12" s="78" t="e">
        <f>VLOOKUP($B12,'اداری 1'!$C:$AA,13,0)</f>
        <v>#N/A</v>
      </c>
      <c r="H12" s="78" t="e">
        <f>VLOOKUP($B12,'اداری 1'!$C:$AA,20,0)</f>
        <v>#N/A</v>
      </c>
      <c r="I12" s="66">
        <v>0</v>
      </c>
      <c r="J12" s="78" t="e">
        <f>IF(VLOOKUP($B12,'اداری 1'!$C:$AA,21,0)="",0,VLOOKUP($B12,'اداری 1'!$C:$AA,21,0))</f>
        <v>#N/A</v>
      </c>
      <c r="K12" s="78">
        <v>0</v>
      </c>
      <c r="L12" s="78">
        <v>0</v>
      </c>
      <c r="M12" s="78">
        <v>0</v>
      </c>
      <c r="N12" s="78" t="e">
        <f>IF(VLOOKUP($B12,'اداری 1'!$C:$AA,17,0)="",0,VLOOKUP($B12,'اداری 1'!$C:$AA,17,0))</f>
        <v>#N/A</v>
      </c>
      <c r="O12" s="67">
        <v>0</v>
      </c>
      <c r="P12" s="68" t="e">
        <f t="shared" si="0"/>
        <v>#N/A</v>
      </c>
      <c r="Q12" s="155" t="e">
        <f t="shared" si="1"/>
        <v>#N/A</v>
      </c>
      <c r="R12" s="68" t="e">
        <f t="shared" si="2"/>
        <v>#N/A</v>
      </c>
      <c r="S12" s="68" t="e">
        <f t="shared" si="3"/>
        <v>#N/A</v>
      </c>
      <c r="T12" s="107">
        <f>VLOOKUP(C12,'خلاصه عملکرد'!D:E,1,0)</f>
        <v>14478</v>
      </c>
    </row>
    <row r="13" spans="1:20" s="69" customFormat="1" ht="21" x14ac:dyDescent="0.55000000000000004">
      <c r="A13" s="76">
        <v>435</v>
      </c>
      <c r="B13" s="102">
        <v>1087</v>
      </c>
      <c r="C13" s="102">
        <v>1087</v>
      </c>
      <c r="D13" s="77" t="s">
        <v>421</v>
      </c>
      <c r="E13" s="78" t="e">
        <f>VLOOKUP($B13,'اداری 1'!C:AB,4,0)</f>
        <v>#N/A</v>
      </c>
      <c r="F13" s="78" t="e">
        <f>VLOOKUP($B13,'اداری 1'!$C:$AA,13,0)</f>
        <v>#N/A</v>
      </c>
      <c r="G13" s="78" t="e">
        <f>VLOOKUP($B13,'اداری 1'!$C:$AA,13,0)</f>
        <v>#N/A</v>
      </c>
      <c r="H13" s="78" t="e">
        <f>VLOOKUP($B13,'اداری 1'!$C:$AA,20,0)</f>
        <v>#N/A</v>
      </c>
      <c r="I13" s="66">
        <v>0</v>
      </c>
      <c r="J13" s="78" t="e">
        <f>IF(VLOOKUP($B13,'اداری 1'!$C:$AA,21,0)="",0,VLOOKUP($B13,'اداری 1'!$C:$AA,21,0))</f>
        <v>#N/A</v>
      </c>
      <c r="K13" s="78">
        <v>0</v>
      </c>
      <c r="L13" s="78">
        <v>0</v>
      </c>
      <c r="M13" s="78">
        <v>0</v>
      </c>
      <c r="N13" s="78" t="e">
        <f>IF(VLOOKUP($B13,'اداری 1'!$C:$AA,17,0)="",0,VLOOKUP($B13,'اداری 1'!$C:$AA,17,0))</f>
        <v>#N/A</v>
      </c>
      <c r="O13" s="67">
        <v>0</v>
      </c>
      <c r="P13" s="68" t="e">
        <f t="shared" si="0"/>
        <v>#N/A</v>
      </c>
      <c r="Q13" s="155" t="e">
        <f t="shared" si="1"/>
        <v>#N/A</v>
      </c>
      <c r="R13" s="68" t="e">
        <f t="shared" si="2"/>
        <v>#N/A</v>
      </c>
      <c r="S13" s="68" t="e">
        <f t="shared" si="3"/>
        <v>#N/A</v>
      </c>
      <c r="T13" s="107">
        <f>VLOOKUP(C13,'خلاصه عملکرد'!D:E,1,0)</f>
        <v>1087</v>
      </c>
    </row>
    <row r="14" spans="1:20" s="69" customFormat="1" ht="21" x14ac:dyDescent="0.55000000000000004">
      <c r="A14" s="76"/>
      <c r="B14" s="102">
        <v>1121</v>
      </c>
      <c r="C14" s="102">
        <v>14900</v>
      </c>
      <c r="D14" s="77" t="s">
        <v>439</v>
      </c>
      <c r="E14" s="78" t="e">
        <f>VLOOKUP($B14,'اداری 1'!C:AB,4,0)</f>
        <v>#N/A</v>
      </c>
      <c r="F14" s="78" t="e">
        <f>VLOOKUP($B14,'اداری 1'!$C:$AA,13,0)</f>
        <v>#N/A</v>
      </c>
      <c r="G14" s="78" t="e">
        <f>VLOOKUP($B14,'اداری 1'!$C:$AA,13,0)</f>
        <v>#N/A</v>
      </c>
      <c r="H14" s="78" t="e">
        <f>VLOOKUP($B14,'اداری 1'!$C:$AA,20,0)</f>
        <v>#N/A</v>
      </c>
      <c r="I14" s="66">
        <v>0</v>
      </c>
      <c r="J14" s="78" t="e">
        <f>IF(VLOOKUP($B14,'اداری 1'!$C:$AA,21,0)="",0,VLOOKUP($B14,'اداری 1'!$C:$AA,21,0))</f>
        <v>#N/A</v>
      </c>
      <c r="K14" s="78">
        <v>0</v>
      </c>
      <c r="L14" s="78">
        <v>0</v>
      </c>
      <c r="M14" s="78">
        <v>0</v>
      </c>
      <c r="N14" s="78" t="e">
        <f>IF(VLOOKUP($B14,'اداری 1'!$C:$AA,17,0)="",0,VLOOKUP($B14,'اداری 1'!$C:$AA,17,0))</f>
        <v>#N/A</v>
      </c>
      <c r="O14" s="67">
        <v>0</v>
      </c>
      <c r="P14" s="68" t="e">
        <f t="shared" si="0"/>
        <v>#N/A</v>
      </c>
      <c r="Q14" s="155" t="e">
        <f t="shared" si="1"/>
        <v>#N/A</v>
      </c>
      <c r="R14" s="68" t="e">
        <f t="shared" si="2"/>
        <v>#N/A</v>
      </c>
      <c r="S14" s="68" t="e">
        <f t="shared" si="3"/>
        <v>#N/A</v>
      </c>
      <c r="T14" s="107">
        <f>VLOOKUP(C14,'خلاصه عملکرد'!D:E,1,0)</f>
        <v>14900</v>
      </c>
    </row>
    <row r="15" spans="1:20" s="69" customFormat="1" ht="17.25" customHeight="1" x14ac:dyDescent="0.55000000000000004">
      <c r="A15" s="76">
        <v>168</v>
      </c>
      <c r="B15" s="102">
        <v>1134</v>
      </c>
      <c r="C15" s="102">
        <v>14905</v>
      </c>
      <c r="D15" s="77" t="s">
        <v>463</v>
      </c>
      <c r="E15" s="78" t="e">
        <f>VLOOKUP($B15,'اداری 1'!C:AB,4,0)</f>
        <v>#N/A</v>
      </c>
      <c r="F15" s="78" t="e">
        <f>VLOOKUP($B15,'اداری 1'!$C:$AA,13,0)</f>
        <v>#N/A</v>
      </c>
      <c r="G15" s="78" t="e">
        <f>VLOOKUP($B15,'اداری 1'!$C:$AA,13,0)</f>
        <v>#N/A</v>
      </c>
      <c r="H15" s="78" t="e">
        <f>VLOOKUP($B15,'اداری 1'!$C:$AA,20,0)</f>
        <v>#N/A</v>
      </c>
      <c r="I15" s="66">
        <v>0</v>
      </c>
      <c r="J15" s="78" t="e">
        <f>IF(VLOOKUP($B15,'اداری 1'!$C:$AA,21,0)="",0,VLOOKUP($B15,'اداری 1'!$C:$AA,21,0))</f>
        <v>#N/A</v>
      </c>
      <c r="K15" s="78">
        <v>0</v>
      </c>
      <c r="L15" s="78">
        <v>0</v>
      </c>
      <c r="M15" s="78">
        <v>0</v>
      </c>
      <c r="N15" s="78" t="e">
        <f>IF(VLOOKUP($B15,'اداری 1'!$C:$AA,17,0)="",0,VLOOKUP($B15,'اداری 1'!$C:$AA,17,0))</f>
        <v>#N/A</v>
      </c>
      <c r="O15" s="67">
        <v>0</v>
      </c>
      <c r="P15" s="68" t="e">
        <f t="shared" si="0"/>
        <v>#N/A</v>
      </c>
      <c r="Q15" s="155" t="e">
        <f t="shared" si="1"/>
        <v>#N/A</v>
      </c>
      <c r="R15" s="68" t="e">
        <f t="shared" si="2"/>
        <v>#N/A</v>
      </c>
      <c r="S15" s="68" t="e">
        <f t="shared" si="3"/>
        <v>#N/A</v>
      </c>
      <c r="T15" s="107">
        <f>VLOOKUP(C15,'خلاصه عملکرد'!D:E,1,0)</f>
        <v>14905</v>
      </c>
    </row>
    <row r="16" spans="1:20" s="69" customFormat="1" ht="21" x14ac:dyDescent="0.55000000000000004">
      <c r="A16" s="76"/>
      <c r="B16" s="102">
        <v>1170</v>
      </c>
      <c r="C16" s="102">
        <v>1170</v>
      </c>
      <c r="D16" s="77" t="s">
        <v>539</v>
      </c>
      <c r="E16" s="78" t="e">
        <f>VLOOKUP($B16,'اداری 1'!C:AB,4,0)</f>
        <v>#N/A</v>
      </c>
      <c r="F16" s="78" t="e">
        <f>VLOOKUP($B16,'اداری 1'!$C:$AA,13,0)</f>
        <v>#N/A</v>
      </c>
      <c r="G16" s="78" t="e">
        <f>VLOOKUP($B16,'اداری 1'!$C:$AA,13,0)</f>
        <v>#N/A</v>
      </c>
      <c r="H16" s="78" t="e">
        <f>VLOOKUP($B16,'اداری 1'!$C:$AA,20,0)</f>
        <v>#N/A</v>
      </c>
      <c r="I16" s="66">
        <v>0</v>
      </c>
      <c r="J16" s="78" t="e">
        <f>IF(VLOOKUP($B16,'اداری 1'!$C:$AA,21,0)="",0,VLOOKUP($B16,'اداری 1'!$C:$AA,21,0))</f>
        <v>#N/A</v>
      </c>
      <c r="K16" s="78">
        <v>0</v>
      </c>
      <c r="L16" s="78">
        <v>0</v>
      </c>
      <c r="M16" s="78">
        <v>0</v>
      </c>
      <c r="N16" s="78" t="e">
        <f>IF(VLOOKUP($B16,'اداری 1'!$C:$AA,17,0)="",0,VLOOKUP($B16,'اداری 1'!$C:$AA,17,0))</f>
        <v>#N/A</v>
      </c>
      <c r="O16" s="67">
        <v>0</v>
      </c>
      <c r="P16" s="68" t="e">
        <f t="shared" si="0"/>
        <v>#N/A</v>
      </c>
      <c r="Q16" s="155" t="e">
        <f t="shared" si="1"/>
        <v>#N/A</v>
      </c>
      <c r="R16" s="68" t="e">
        <f t="shared" si="2"/>
        <v>#N/A</v>
      </c>
      <c r="S16" s="68" t="e">
        <f t="shared" si="3"/>
        <v>#N/A</v>
      </c>
      <c r="T16" s="107">
        <f>VLOOKUP(C16,'خلاصه عملکرد'!D:E,1,0)</f>
        <v>1170</v>
      </c>
    </row>
    <row r="17" spans="1:20" s="69" customFormat="1" ht="21" x14ac:dyDescent="0.55000000000000004">
      <c r="A17" s="76"/>
      <c r="B17" s="102">
        <v>1190</v>
      </c>
      <c r="C17" s="102">
        <v>1190</v>
      </c>
      <c r="D17" s="77" t="s">
        <v>545</v>
      </c>
      <c r="E17" s="78" t="e">
        <f>VLOOKUP($B17,'اداری 1'!C:AB,4,0)</f>
        <v>#N/A</v>
      </c>
      <c r="F17" s="78" t="e">
        <f>VLOOKUP($B17,'اداری 1'!$C:$AA,13,0)</f>
        <v>#N/A</v>
      </c>
      <c r="G17" s="78" t="e">
        <f>VLOOKUP($B17,'اداری 1'!$C:$AA,13,0)</f>
        <v>#N/A</v>
      </c>
      <c r="H17" s="78" t="e">
        <f>VLOOKUP($B17,'اداری 1'!$C:$AA,20,0)</f>
        <v>#N/A</v>
      </c>
      <c r="I17" s="66">
        <v>0</v>
      </c>
      <c r="J17" s="78" t="e">
        <f>IF(VLOOKUP($B17,'اداری 1'!$C:$AA,21,0)="",0,VLOOKUP($B17,'اداری 1'!$C:$AA,21,0))</f>
        <v>#N/A</v>
      </c>
      <c r="K17" s="78">
        <v>0</v>
      </c>
      <c r="L17" s="78">
        <v>0</v>
      </c>
      <c r="M17" s="78">
        <v>0</v>
      </c>
      <c r="N17" s="78" t="e">
        <f>IF(VLOOKUP($B17,'اداری 1'!$C:$AA,17,0)="",0,VLOOKUP($B17,'اداری 1'!$C:$AA,17,0))</f>
        <v>#N/A</v>
      </c>
      <c r="O17" s="67">
        <v>0</v>
      </c>
      <c r="P17" s="68" t="e">
        <f t="shared" si="0"/>
        <v>#N/A</v>
      </c>
      <c r="Q17" s="155" t="e">
        <f t="shared" si="1"/>
        <v>#N/A</v>
      </c>
      <c r="R17" s="68" t="e">
        <f t="shared" si="2"/>
        <v>#N/A</v>
      </c>
      <c r="S17" s="68" t="e">
        <f t="shared" si="3"/>
        <v>#N/A</v>
      </c>
      <c r="T17" s="107">
        <f>VLOOKUP(C17,'خلاصه عملکرد'!D:E,1,0)</f>
        <v>1190</v>
      </c>
    </row>
    <row r="18" spans="1:20" s="69" customFormat="1" ht="21" x14ac:dyDescent="0.55000000000000004">
      <c r="A18" s="76">
        <v>1056</v>
      </c>
      <c r="B18" s="102">
        <v>1055</v>
      </c>
      <c r="C18" s="102">
        <v>14863</v>
      </c>
      <c r="D18" s="77" t="s">
        <v>405</v>
      </c>
      <c r="E18" s="78" t="e">
        <f>VLOOKUP($B18,'اداری 1'!C:AB,4,0)</f>
        <v>#N/A</v>
      </c>
      <c r="F18" s="78" t="e">
        <f>VLOOKUP($B18,'اداری 1'!$C:$AA,13,0)</f>
        <v>#N/A</v>
      </c>
      <c r="G18" s="78" t="e">
        <f>VLOOKUP($B18,'اداری 1'!$C:$AA,13,0)</f>
        <v>#N/A</v>
      </c>
      <c r="H18" s="78" t="e">
        <f>VLOOKUP($B18,'اداری 1'!$C:$AA,20,0)</f>
        <v>#N/A</v>
      </c>
      <c r="I18" s="66">
        <v>0</v>
      </c>
      <c r="J18" s="78" t="e">
        <f>IF(VLOOKUP($B18,'اداری 1'!$C:$AA,21,0)="",0,VLOOKUP($B18,'اداری 1'!$C:$AA,21,0))</f>
        <v>#N/A</v>
      </c>
      <c r="K18" s="78">
        <v>0</v>
      </c>
      <c r="L18" s="78">
        <v>0</v>
      </c>
      <c r="M18" s="78">
        <v>0</v>
      </c>
      <c r="N18" s="78" t="e">
        <f>IF(VLOOKUP($B18,'اداری 1'!$C:$AA,17,0)="",0,VLOOKUP($B18,'اداری 1'!$C:$AA,17,0))</f>
        <v>#N/A</v>
      </c>
      <c r="O18" s="67">
        <v>0</v>
      </c>
      <c r="P18" s="68" t="e">
        <f t="shared" si="0"/>
        <v>#N/A</v>
      </c>
      <c r="Q18" s="155" t="e">
        <f t="shared" si="1"/>
        <v>#N/A</v>
      </c>
      <c r="R18" s="68" t="e">
        <f t="shared" si="2"/>
        <v>#N/A</v>
      </c>
      <c r="S18" s="68" t="e">
        <f t="shared" si="3"/>
        <v>#N/A</v>
      </c>
      <c r="T18" s="107">
        <f>VLOOKUP(C18,'خلاصه عملکرد'!D:E,1,0)</f>
        <v>14863</v>
      </c>
    </row>
    <row r="19" spans="1:20" s="69" customFormat="1" ht="21" x14ac:dyDescent="0.55000000000000004">
      <c r="A19" s="76"/>
      <c r="B19" s="102">
        <v>1112</v>
      </c>
      <c r="C19" s="157">
        <v>14897</v>
      </c>
      <c r="D19" s="90" t="s">
        <v>434</v>
      </c>
      <c r="E19" s="78" t="e">
        <f>VLOOKUP($B19,'اداری 1'!C:AB,4,0)</f>
        <v>#N/A</v>
      </c>
      <c r="F19" s="78" t="e">
        <f>VLOOKUP($B19,'اداری 1'!$C:$AA,13,0)</f>
        <v>#N/A</v>
      </c>
      <c r="G19" s="78" t="e">
        <f>VLOOKUP($B19,'اداری 1'!$C:$AA,13,0)</f>
        <v>#N/A</v>
      </c>
      <c r="H19" s="78" t="e">
        <f>VLOOKUP($B19,'اداری 1'!$C:$AA,20,0)</f>
        <v>#N/A</v>
      </c>
      <c r="I19" s="66">
        <v>0</v>
      </c>
      <c r="J19" s="78" t="e">
        <f>IF(VLOOKUP($B19,'اداری 1'!$C:$AA,21,0)="",0,VLOOKUP($B19,'اداری 1'!$C:$AA,21,0))</f>
        <v>#N/A</v>
      </c>
      <c r="K19" s="78">
        <v>0</v>
      </c>
      <c r="L19" s="78">
        <v>0</v>
      </c>
      <c r="M19" s="78">
        <v>0</v>
      </c>
      <c r="N19" s="78" t="e">
        <f>IF(VLOOKUP($B19,'اداری 1'!$C:$AA,17,0)="",0,VLOOKUP($B19,'اداری 1'!$C:$AA,17,0))</f>
        <v>#N/A</v>
      </c>
      <c r="O19" s="91">
        <v>0</v>
      </c>
      <c r="P19" s="92" t="e">
        <f t="shared" si="0"/>
        <v>#N/A</v>
      </c>
      <c r="Q19" s="156" t="e">
        <f t="shared" si="1"/>
        <v>#N/A</v>
      </c>
      <c r="R19" s="92" t="e">
        <f t="shared" si="2"/>
        <v>#N/A</v>
      </c>
      <c r="S19" s="92" t="e">
        <f t="shared" si="3"/>
        <v>#N/A</v>
      </c>
      <c r="T19" s="107">
        <f>VLOOKUP(C19,'خلاصه عملکرد'!D:E,1,0)</f>
        <v>14897</v>
      </c>
    </row>
    <row r="20" spans="1:20" s="69" customFormat="1" ht="21" x14ac:dyDescent="0.55000000000000004">
      <c r="A20" s="76"/>
      <c r="B20" s="102">
        <v>1129</v>
      </c>
      <c r="C20" s="102">
        <v>14902</v>
      </c>
      <c r="D20" s="77" t="s">
        <v>460</v>
      </c>
      <c r="E20" s="78" t="e">
        <f>VLOOKUP($B20,'اداری 1'!C:AB,4,0)</f>
        <v>#N/A</v>
      </c>
      <c r="F20" s="78" t="e">
        <f>VLOOKUP($B20,'اداری 1'!$C:$AA,13,0)</f>
        <v>#N/A</v>
      </c>
      <c r="G20" s="78" t="e">
        <f>VLOOKUP($B20,'اداری 1'!$C:$AA,13,0)</f>
        <v>#N/A</v>
      </c>
      <c r="H20" s="78" t="e">
        <f>VLOOKUP($B20,'اداری 1'!$C:$AA,20,0)</f>
        <v>#N/A</v>
      </c>
      <c r="I20" s="66">
        <v>0</v>
      </c>
      <c r="J20" s="78" t="e">
        <f>IF(VLOOKUP($B20,'اداری 1'!$C:$AA,21,0)="",0,VLOOKUP($B20,'اداری 1'!$C:$AA,21,0))</f>
        <v>#N/A</v>
      </c>
      <c r="K20" s="78">
        <v>0</v>
      </c>
      <c r="L20" s="78">
        <v>0</v>
      </c>
      <c r="M20" s="78">
        <v>0</v>
      </c>
      <c r="N20" s="78" t="e">
        <f>IF(VLOOKUP($B20,'اداری 1'!$C:$AA,17,0)="",0,VLOOKUP($B20,'اداری 1'!$C:$AA,17,0))</f>
        <v>#N/A</v>
      </c>
      <c r="O20" s="67">
        <v>0</v>
      </c>
      <c r="P20" s="68" t="e">
        <f t="shared" si="0"/>
        <v>#N/A</v>
      </c>
      <c r="Q20" s="155" t="e">
        <f t="shared" si="1"/>
        <v>#N/A</v>
      </c>
      <c r="R20" s="68" t="e">
        <f t="shared" si="2"/>
        <v>#N/A</v>
      </c>
      <c r="S20" s="68" t="e">
        <f t="shared" si="3"/>
        <v>#N/A</v>
      </c>
      <c r="T20" s="107">
        <f>VLOOKUP(C20,'خلاصه عملکرد'!D:E,1,0)</f>
        <v>14902</v>
      </c>
    </row>
    <row r="21" spans="1:20" s="69" customFormat="1" ht="21" x14ac:dyDescent="0.55000000000000004">
      <c r="A21" s="76"/>
      <c r="B21" s="102">
        <v>1146</v>
      </c>
      <c r="C21" s="102">
        <v>14922</v>
      </c>
      <c r="D21" s="77" t="s">
        <v>470</v>
      </c>
      <c r="E21" s="78" t="e">
        <f>VLOOKUP($B21,'اداری 1'!C:AB,4,0)</f>
        <v>#N/A</v>
      </c>
      <c r="F21" s="78" t="e">
        <f>VLOOKUP($B21,'اداری 1'!$C:$AA,13,0)</f>
        <v>#N/A</v>
      </c>
      <c r="G21" s="78" t="e">
        <f>VLOOKUP($B21,'اداری 1'!$C:$AA,13,0)</f>
        <v>#N/A</v>
      </c>
      <c r="H21" s="78" t="e">
        <f>VLOOKUP($B21,'اداری 1'!$C:$AA,20,0)</f>
        <v>#N/A</v>
      </c>
      <c r="I21" s="66">
        <v>0</v>
      </c>
      <c r="J21" s="78" t="e">
        <f>IF(VLOOKUP($B21,'اداری 1'!$C:$AA,21,0)="",0,VLOOKUP($B21,'اداری 1'!$C:$AA,21,0))</f>
        <v>#N/A</v>
      </c>
      <c r="K21" s="78">
        <v>0</v>
      </c>
      <c r="L21" s="78">
        <v>0</v>
      </c>
      <c r="M21" s="78">
        <v>0</v>
      </c>
      <c r="N21" s="78" t="e">
        <f>IF(VLOOKUP($B21,'اداری 1'!$C:$AA,17,0)="",0,VLOOKUP($B21,'اداری 1'!$C:$AA,17,0))</f>
        <v>#N/A</v>
      </c>
      <c r="O21" s="67">
        <v>0</v>
      </c>
      <c r="P21" s="68" t="e">
        <f t="shared" si="0"/>
        <v>#N/A</v>
      </c>
      <c r="Q21" s="155" t="e">
        <f t="shared" si="1"/>
        <v>#N/A</v>
      </c>
      <c r="R21" s="68" t="e">
        <f t="shared" si="2"/>
        <v>#N/A</v>
      </c>
      <c r="S21" s="68" t="e">
        <f t="shared" si="3"/>
        <v>#N/A</v>
      </c>
      <c r="T21" s="107">
        <f>VLOOKUP(C21,'خلاصه عملکرد'!D:E,1,0)</f>
        <v>14922</v>
      </c>
    </row>
    <row r="22" spans="1:20" s="69" customFormat="1" ht="21" x14ac:dyDescent="0.55000000000000004">
      <c r="A22" s="137">
        <v>106</v>
      </c>
      <c r="B22" s="104">
        <v>106</v>
      </c>
      <c r="C22" s="103">
        <v>14226</v>
      </c>
      <c r="D22" s="80" t="s">
        <v>290</v>
      </c>
      <c r="E22" s="78" t="e">
        <f>VLOOKUP($B22,'اداری 1'!C:AB,4,0)</f>
        <v>#N/A</v>
      </c>
      <c r="F22" s="78" t="e">
        <f>VLOOKUP($B22,'اداری 1'!$C:$AA,13,0)</f>
        <v>#N/A</v>
      </c>
      <c r="G22" s="78" t="e">
        <f>VLOOKUP($B22,'اداری 1'!$C:$AA,13,0)</f>
        <v>#N/A</v>
      </c>
      <c r="H22" s="78" t="e">
        <f>VLOOKUP($B22,'اداری 1'!$C:$AA,20,0)</f>
        <v>#N/A</v>
      </c>
      <c r="I22" s="66">
        <v>0</v>
      </c>
      <c r="J22" s="78" t="e">
        <f>IF(VLOOKUP($B22,'اداری 1'!$C:$AA,21,0)="",0,VLOOKUP($B22,'اداری 1'!$C:$AA,21,0))</f>
        <v>#N/A</v>
      </c>
      <c r="K22" s="78">
        <v>0</v>
      </c>
      <c r="L22" s="78">
        <v>0</v>
      </c>
      <c r="M22" s="78">
        <v>0</v>
      </c>
      <c r="N22" s="78" t="e">
        <f>IF(VLOOKUP($B22,'اداری 1'!$C:$AA,17,0)="",0,VLOOKUP($B22,'اداری 1'!$C:$AA,17,0))</f>
        <v>#N/A</v>
      </c>
      <c r="O22" s="67">
        <v>0</v>
      </c>
      <c r="P22" s="68" t="e">
        <f t="shared" si="0"/>
        <v>#N/A</v>
      </c>
      <c r="Q22" s="155" t="e">
        <f t="shared" si="1"/>
        <v>#N/A</v>
      </c>
      <c r="R22" s="68" t="e">
        <f t="shared" si="2"/>
        <v>#N/A</v>
      </c>
      <c r="S22" s="68" t="e">
        <f t="shared" si="3"/>
        <v>#N/A</v>
      </c>
      <c r="T22" s="107">
        <f>VLOOKUP(C22,'خلاصه عملکرد'!D:E,1,0)</f>
        <v>14226</v>
      </c>
    </row>
    <row r="23" spans="1:20" s="69" customFormat="1" ht="21" x14ac:dyDescent="0.55000000000000004">
      <c r="A23" s="76">
        <v>109</v>
      </c>
      <c r="B23" s="102">
        <v>109</v>
      </c>
      <c r="C23" s="102">
        <v>14162</v>
      </c>
      <c r="D23" s="77" t="s">
        <v>328</v>
      </c>
      <c r="E23" s="78" t="e">
        <f>VLOOKUP($B23,'اداری 1'!C:AB,4,0)</f>
        <v>#N/A</v>
      </c>
      <c r="F23" s="78" t="e">
        <f>VLOOKUP($B23,'اداری 1'!$C:$AA,13,0)</f>
        <v>#N/A</v>
      </c>
      <c r="G23" s="78" t="e">
        <f>VLOOKUP($B23,'اداری 1'!$C:$AA,13,0)</f>
        <v>#N/A</v>
      </c>
      <c r="H23" s="78" t="e">
        <f>VLOOKUP($B23,'اداری 1'!$C:$AA,20,0)</f>
        <v>#N/A</v>
      </c>
      <c r="I23" s="66">
        <v>0</v>
      </c>
      <c r="J23" s="78" t="e">
        <f>IF(VLOOKUP($B23,'اداری 1'!$C:$AA,21,0)="",0,VLOOKUP($B23,'اداری 1'!$C:$AA,21,0))</f>
        <v>#N/A</v>
      </c>
      <c r="K23" s="78">
        <v>0</v>
      </c>
      <c r="L23" s="78">
        <v>0</v>
      </c>
      <c r="M23" s="78">
        <v>0</v>
      </c>
      <c r="N23" s="78" t="e">
        <f>IF(VLOOKUP($B23,'اداری 1'!$C:$AA,17,0)="",0,VLOOKUP($B23,'اداری 1'!$C:$AA,17,0))</f>
        <v>#N/A</v>
      </c>
      <c r="O23" s="67">
        <v>0</v>
      </c>
      <c r="P23" s="68" t="e">
        <f t="shared" si="0"/>
        <v>#N/A</v>
      </c>
      <c r="Q23" s="155" t="e">
        <f t="shared" si="1"/>
        <v>#N/A</v>
      </c>
      <c r="R23" s="68" t="e">
        <f t="shared" si="2"/>
        <v>#N/A</v>
      </c>
      <c r="S23" s="68" t="e">
        <f t="shared" si="3"/>
        <v>#N/A</v>
      </c>
      <c r="T23" s="107">
        <f>VLOOKUP(C23,'خلاصه عملکرد'!D:E,1,0)</f>
        <v>14162</v>
      </c>
    </row>
    <row r="24" spans="1:20" s="69" customFormat="1" ht="21" x14ac:dyDescent="0.55000000000000004">
      <c r="A24" s="137">
        <v>123</v>
      </c>
      <c r="B24" s="104">
        <v>123</v>
      </c>
      <c r="C24" s="104">
        <v>14166</v>
      </c>
      <c r="D24" s="80" t="s">
        <v>346</v>
      </c>
      <c r="E24" s="78" t="e">
        <f>VLOOKUP($B24,'اداری 1'!C:AB,4,0)</f>
        <v>#N/A</v>
      </c>
      <c r="F24" s="78" t="e">
        <f>VLOOKUP($B24,'اداری 1'!$C:$AA,13,0)</f>
        <v>#N/A</v>
      </c>
      <c r="G24" s="78" t="e">
        <f>VLOOKUP($B24,'اداری 1'!$C:$AA,13,0)</f>
        <v>#N/A</v>
      </c>
      <c r="H24" s="78" t="e">
        <f>VLOOKUP($B24,'اداری 1'!$C:$AA,20,0)</f>
        <v>#N/A</v>
      </c>
      <c r="I24" s="66">
        <v>0</v>
      </c>
      <c r="J24" s="78" t="e">
        <f>IF(VLOOKUP($B24,'اداری 1'!$C:$AA,21,0)="",0,VLOOKUP($B24,'اداری 1'!$C:$AA,21,0))</f>
        <v>#N/A</v>
      </c>
      <c r="K24" s="78">
        <v>0</v>
      </c>
      <c r="L24" s="78">
        <v>0</v>
      </c>
      <c r="M24" s="78">
        <v>0</v>
      </c>
      <c r="N24" s="78" t="e">
        <f>IF(VLOOKUP($B24,'اداری 1'!$C:$AA,17,0)="",0,VLOOKUP($B24,'اداری 1'!$C:$AA,17,0))</f>
        <v>#N/A</v>
      </c>
      <c r="O24" s="67">
        <v>0</v>
      </c>
      <c r="P24" s="68" t="e">
        <f t="shared" si="0"/>
        <v>#N/A</v>
      </c>
      <c r="Q24" s="155" t="e">
        <f t="shared" si="1"/>
        <v>#N/A</v>
      </c>
      <c r="R24" s="68" t="e">
        <f t="shared" si="2"/>
        <v>#N/A</v>
      </c>
      <c r="S24" s="68" t="e">
        <f t="shared" si="3"/>
        <v>#N/A</v>
      </c>
      <c r="T24" s="107">
        <f>VLOOKUP(C24,'خلاصه عملکرد'!D:E,1,0)</f>
        <v>14166</v>
      </c>
    </row>
    <row r="25" spans="1:20" s="69" customFormat="1" ht="21" x14ac:dyDescent="0.55000000000000004">
      <c r="A25" s="76">
        <v>189</v>
      </c>
      <c r="B25" s="102">
        <v>178</v>
      </c>
      <c r="C25" s="102">
        <v>14231</v>
      </c>
      <c r="D25" s="77" t="s">
        <v>205</v>
      </c>
      <c r="E25" s="78" t="e">
        <f>VLOOKUP($B25,'اداری 1'!C:AB,4,0)</f>
        <v>#N/A</v>
      </c>
      <c r="F25" s="78" t="e">
        <f>VLOOKUP($B25,'اداری 1'!$C:$AA,13,0)</f>
        <v>#N/A</v>
      </c>
      <c r="G25" s="78" t="e">
        <f>VLOOKUP($B25,'اداری 1'!$C:$AA,13,0)</f>
        <v>#N/A</v>
      </c>
      <c r="H25" s="78" t="e">
        <f>VLOOKUP($B25,'اداری 1'!$C:$AA,20,0)</f>
        <v>#N/A</v>
      </c>
      <c r="I25" s="66">
        <v>0</v>
      </c>
      <c r="J25" s="78" t="e">
        <f>IF(VLOOKUP($B25,'اداری 1'!$C:$AA,21,0)="",0,VLOOKUP($B25,'اداری 1'!$C:$AA,21,0))</f>
        <v>#N/A</v>
      </c>
      <c r="K25" s="78">
        <v>0</v>
      </c>
      <c r="L25" s="78">
        <v>0</v>
      </c>
      <c r="M25" s="78">
        <v>0</v>
      </c>
      <c r="N25" s="78" t="e">
        <f>IF(VLOOKUP($B25,'اداری 1'!$C:$AA,17,0)="",0,VLOOKUP($B25,'اداری 1'!$C:$AA,17,0))</f>
        <v>#N/A</v>
      </c>
      <c r="O25" s="67">
        <v>0</v>
      </c>
      <c r="P25" s="68" t="e">
        <f t="shared" si="0"/>
        <v>#N/A</v>
      </c>
      <c r="Q25" s="155" t="e">
        <f t="shared" si="1"/>
        <v>#N/A</v>
      </c>
      <c r="R25" s="68" t="e">
        <f t="shared" si="2"/>
        <v>#N/A</v>
      </c>
      <c r="S25" s="68" t="e">
        <f t="shared" si="3"/>
        <v>#N/A</v>
      </c>
      <c r="T25" s="107">
        <f>VLOOKUP(C25,'خلاصه عملکرد'!D:E,1,0)</f>
        <v>14231</v>
      </c>
    </row>
    <row r="26" spans="1:20" s="69" customFormat="1" ht="21" x14ac:dyDescent="0.55000000000000004">
      <c r="A26" s="76">
        <v>245</v>
      </c>
      <c r="B26" s="102">
        <v>203</v>
      </c>
      <c r="C26" s="102">
        <v>14242</v>
      </c>
      <c r="D26" s="77" t="s">
        <v>365</v>
      </c>
      <c r="E26" s="78" t="e">
        <f>VLOOKUP($B26,'اداری 1'!C:AB,4,0)</f>
        <v>#N/A</v>
      </c>
      <c r="F26" s="78" t="e">
        <f>VLOOKUP($B26,'اداری 1'!$C:$AA,13,0)</f>
        <v>#N/A</v>
      </c>
      <c r="G26" s="78" t="e">
        <f>VLOOKUP($B26,'اداری 1'!$C:$AA,13,0)</f>
        <v>#N/A</v>
      </c>
      <c r="H26" s="78" t="e">
        <f>VLOOKUP($B26,'اداری 1'!$C:$AA,20,0)</f>
        <v>#N/A</v>
      </c>
      <c r="I26" s="66">
        <v>0</v>
      </c>
      <c r="J26" s="78" t="e">
        <f>IF(VLOOKUP($B26,'اداری 1'!$C:$AA,21,0)="",0,VLOOKUP($B26,'اداری 1'!$C:$AA,21,0))</f>
        <v>#N/A</v>
      </c>
      <c r="K26" s="78">
        <v>0</v>
      </c>
      <c r="L26" s="78">
        <v>0</v>
      </c>
      <c r="M26" s="78">
        <v>0</v>
      </c>
      <c r="N26" s="78" t="e">
        <f>IF(VLOOKUP($B26,'اداری 1'!$C:$AA,17,0)="",0,VLOOKUP($B26,'اداری 1'!$C:$AA,17,0))</f>
        <v>#N/A</v>
      </c>
      <c r="O26" s="67">
        <v>0</v>
      </c>
      <c r="P26" s="68" t="e">
        <f t="shared" si="0"/>
        <v>#N/A</v>
      </c>
      <c r="Q26" s="155" t="e">
        <f t="shared" si="1"/>
        <v>#N/A</v>
      </c>
      <c r="R26" s="68" t="e">
        <f t="shared" si="2"/>
        <v>#N/A</v>
      </c>
      <c r="S26" s="68" t="e">
        <f t="shared" si="3"/>
        <v>#N/A</v>
      </c>
      <c r="T26" s="107">
        <f>VLOOKUP(C26,'خلاصه عملکرد'!D:E,1,0)</f>
        <v>14242</v>
      </c>
    </row>
    <row r="27" spans="1:20" s="69" customFormat="1" ht="21" x14ac:dyDescent="0.55000000000000004">
      <c r="A27" s="137">
        <v>264</v>
      </c>
      <c r="B27" s="104">
        <v>245</v>
      </c>
      <c r="C27" s="104">
        <v>14275</v>
      </c>
      <c r="D27" s="80" t="s">
        <v>203</v>
      </c>
      <c r="E27" s="78" t="e">
        <f>VLOOKUP($B27,'اداری 1'!C:AB,4,0)</f>
        <v>#N/A</v>
      </c>
      <c r="F27" s="78" t="e">
        <f>VLOOKUP($B27,'اداری 1'!$C:$AA,13,0)</f>
        <v>#N/A</v>
      </c>
      <c r="G27" s="78" t="e">
        <f>VLOOKUP($B27,'اداری 1'!$C:$AA,13,0)</f>
        <v>#N/A</v>
      </c>
      <c r="H27" s="78" t="e">
        <f>VLOOKUP($B27,'اداری 1'!$C:$AA,20,0)</f>
        <v>#N/A</v>
      </c>
      <c r="I27" s="66">
        <v>0</v>
      </c>
      <c r="J27" s="78" t="e">
        <f>IF(VLOOKUP($B27,'اداری 1'!$C:$AA,21,0)="",0,VLOOKUP($B27,'اداری 1'!$C:$AA,21,0))</f>
        <v>#N/A</v>
      </c>
      <c r="K27" s="78">
        <v>0</v>
      </c>
      <c r="L27" s="78">
        <v>0</v>
      </c>
      <c r="M27" s="78">
        <v>0</v>
      </c>
      <c r="N27" s="78" t="e">
        <f>IF(VLOOKUP($B27,'اداری 1'!$C:$AA,17,0)="",0,VLOOKUP($B27,'اداری 1'!$C:$AA,17,0))</f>
        <v>#N/A</v>
      </c>
      <c r="O27" s="67">
        <v>0</v>
      </c>
      <c r="P27" s="68" t="e">
        <f t="shared" si="0"/>
        <v>#N/A</v>
      </c>
      <c r="Q27" s="155" t="e">
        <f t="shared" si="1"/>
        <v>#N/A</v>
      </c>
      <c r="R27" s="68" t="e">
        <f t="shared" si="2"/>
        <v>#N/A</v>
      </c>
      <c r="S27" s="68" t="e">
        <f t="shared" si="3"/>
        <v>#N/A</v>
      </c>
      <c r="T27" s="107">
        <f>VLOOKUP(C27,'خلاصه عملکرد'!D:E,1,0)</f>
        <v>14275</v>
      </c>
    </row>
    <row r="28" spans="1:20" s="69" customFormat="1" ht="21" x14ac:dyDescent="0.55000000000000004">
      <c r="A28" s="76">
        <v>291</v>
      </c>
      <c r="B28" s="102">
        <v>264</v>
      </c>
      <c r="C28" s="102">
        <v>14283</v>
      </c>
      <c r="D28" s="77" t="s">
        <v>201</v>
      </c>
      <c r="E28" s="78" t="e">
        <f>VLOOKUP($B28,'اداری 1'!C:AB,4,0)</f>
        <v>#N/A</v>
      </c>
      <c r="F28" s="78" t="e">
        <f>VLOOKUP($B28,'اداری 1'!$C:$AA,13,0)</f>
        <v>#N/A</v>
      </c>
      <c r="G28" s="78" t="e">
        <f>VLOOKUP($B28,'اداری 1'!$C:$AA,13,0)</f>
        <v>#N/A</v>
      </c>
      <c r="H28" s="78" t="e">
        <f>VLOOKUP($B28,'اداری 1'!$C:$AA,20,0)</f>
        <v>#N/A</v>
      </c>
      <c r="I28" s="66">
        <v>0</v>
      </c>
      <c r="J28" s="78" t="e">
        <f>IF(VLOOKUP($B28,'اداری 1'!$C:$AA,21,0)="",0,VLOOKUP($B28,'اداری 1'!$C:$AA,21,0))</f>
        <v>#N/A</v>
      </c>
      <c r="K28" s="78">
        <v>0</v>
      </c>
      <c r="L28" s="78">
        <v>0</v>
      </c>
      <c r="M28" s="78">
        <v>0</v>
      </c>
      <c r="N28" s="78" t="e">
        <f>IF(VLOOKUP($B28,'اداری 1'!$C:$AA,17,0)="",0,VLOOKUP($B28,'اداری 1'!$C:$AA,17,0))</f>
        <v>#N/A</v>
      </c>
      <c r="O28" s="67">
        <v>0</v>
      </c>
      <c r="P28" s="68" t="e">
        <f t="shared" si="0"/>
        <v>#N/A</v>
      </c>
      <c r="Q28" s="155" t="e">
        <f t="shared" si="1"/>
        <v>#N/A</v>
      </c>
      <c r="R28" s="68" t="e">
        <f t="shared" si="2"/>
        <v>#N/A</v>
      </c>
      <c r="S28" s="68" t="e">
        <f t="shared" si="3"/>
        <v>#N/A</v>
      </c>
      <c r="T28" s="107">
        <f>VLOOKUP(C28,'خلاصه عملکرد'!D:E,1,0)</f>
        <v>14283</v>
      </c>
    </row>
    <row r="29" spans="1:20" s="69" customFormat="1" ht="21" x14ac:dyDescent="0.55000000000000004">
      <c r="A29" s="76">
        <v>308</v>
      </c>
      <c r="B29" s="102">
        <v>291</v>
      </c>
      <c r="C29" s="102">
        <v>14304</v>
      </c>
      <c r="D29" s="77" t="s">
        <v>292</v>
      </c>
      <c r="E29" s="78" t="e">
        <f>VLOOKUP($B29,'اداری 1'!C:AB,4,0)</f>
        <v>#N/A</v>
      </c>
      <c r="F29" s="78" t="e">
        <f>VLOOKUP($B29,'اداری 1'!$C:$AA,13,0)</f>
        <v>#N/A</v>
      </c>
      <c r="G29" s="78" t="e">
        <f>VLOOKUP($B29,'اداری 1'!$C:$AA,13,0)</f>
        <v>#N/A</v>
      </c>
      <c r="H29" s="78" t="e">
        <f>VLOOKUP($B29,'اداری 1'!$C:$AA,20,0)</f>
        <v>#N/A</v>
      </c>
      <c r="I29" s="66">
        <v>0</v>
      </c>
      <c r="J29" s="78" t="e">
        <f>IF(VLOOKUP($B29,'اداری 1'!$C:$AA,21,0)="",0,VLOOKUP($B29,'اداری 1'!$C:$AA,21,0))</f>
        <v>#N/A</v>
      </c>
      <c r="K29" s="78">
        <v>0</v>
      </c>
      <c r="L29" s="78">
        <v>0</v>
      </c>
      <c r="M29" s="78">
        <v>0</v>
      </c>
      <c r="N29" s="78" t="e">
        <f>IF(VLOOKUP($B29,'اداری 1'!$C:$AA,17,0)="",0,VLOOKUP($B29,'اداری 1'!$C:$AA,17,0))</f>
        <v>#N/A</v>
      </c>
      <c r="O29" s="67">
        <v>0</v>
      </c>
      <c r="P29" s="68" t="e">
        <f t="shared" si="0"/>
        <v>#N/A</v>
      </c>
      <c r="Q29" s="155" t="e">
        <f t="shared" si="1"/>
        <v>#N/A</v>
      </c>
      <c r="R29" s="68" t="e">
        <f t="shared" si="2"/>
        <v>#N/A</v>
      </c>
      <c r="S29" s="68" t="e">
        <f t="shared" si="3"/>
        <v>#N/A</v>
      </c>
      <c r="T29" s="107">
        <f>VLOOKUP(C29,'خلاصه عملکرد'!D:E,1,0)</f>
        <v>14304</v>
      </c>
    </row>
    <row r="30" spans="1:20" s="69" customFormat="1" ht="21" x14ac:dyDescent="0.55000000000000004">
      <c r="A30" s="76">
        <v>309</v>
      </c>
      <c r="B30" s="102">
        <v>302</v>
      </c>
      <c r="C30" s="102">
        <v>14323</v>
      </c>
      <c r="D30" s="77" t="s">
        <v>304</v>
      </c>
      <c r="E30" s="78" t="e">
        <f>VLOOKUP($B30,'اداری 1'!C:AB,4,0)</f>
        <v>#N/A</v>
      </c>
      <c r="F30" s="78" t="e">
        <f>VLOOKUP($B30,'اداری 1'!$C:$AA,13,0)</f>
        <v>#N/A</v>
      </c>
      <c r="G30" s="78" t="e">
        <f>VLOOKUP($B30,'اداری 1'!$C:$AA,13,0)</f>
        <v>#N/A</v>
      </c>
      <c r="H30" s="78" t="e">
        <f>VLOOKUP($B30,'اداری 1'!$C:$AA,20,0)</f>
        <v>#N/A</v>
      </c>
      <c r="I30" s="66">
        <v>0</v>
      </c>
      <c r="J30" s="78" t="e">
        <f>IF(VLOOKUP($B30,'اداری 1'!$C:$AA,21,0)="",0,VLOOKUP($B30,'اداری 1'!$C:$AA,21,0))</f>
        <v>#N/A</v>
      </c>
      <c r="K30" s="78">
        <v>0</v>
      </c>
      <c r="L30" s="78">
        <v>0</v>
      </c>
      <c r="M30" s="78">
        <v>0</v>
      </c>
      <c r="N30" s="78" t="e">
        <f>IF(VLOOKUP($B30,'اداری 1'!$C:$AA,17,0)="",0,VLOOKUP($B30,'اداری 1'!$C:$AA,17,0))</f>
        <v>#N/A</v>
      </c>
      <c r="O30" s="67">
        <v>0</v>
      </c>
      <c r="P30" s="68" t="e">
        <f t="shared" si="0"/>
        <v>#N/A</v>
      </c>
      <c r="Q30" s="155" t="e">
        <f t="shared" si="1"/>
        <v>#N/A</v>
      </c>
      <c r="R30" s="68" t="e">
        <f t="shared" si="2"/>
        <v>#N/A</v>
      </c>
      <c r="S30" s="68" t="e">
        <f t="shared" si="3"/>
        <v>#N/A</v>
      </c>
      <c r="T30" s="107">
        <f>VLOOKUP(C30,'خلاصه عملکرد'!D:E,1,0)</f>
        <v>14323</v>
      </c>
    </row>
    <row r="31" spans="1:20" s="69" customFormat="1" ht="21" x14ac:dyDescent="0.55000000000000004">
      <c r="A31" s="76">
        <v>310</v>
      </c>
      <c r="B31" s="102">
        <v>309</v>
      </c>
      <c r="C31" s="102">
        <v>14327</v>
      </c>
      <c r="D31" s="77" t="s">
        <v>202</v>
      </c>
      <c r="E31" s="78" t="e">
        <f>VLOOKUP($B31,'اداری 1'!C:AB,4,0)</f>
        <v>#N/A</v>
      </c>
      <c r="F31" s="78" t="e">
        <f>VLOOKUP($B31,'اداری 1'!$C:$AA,13,0)</f>
        <v>#N/A</v>
      </c>
      <c r="G31" s="78" t="e">
        <f>VLOOKUP($B31,'اداری 1'!$C:$AA,13,0)</f>
        <v>#N/A</v>
      </c>
      <c r="H31" s="78" t="e">
        <f>VLOOKUP($B31,'اداری 1'!$C:$AA,20,0)</f>
        <v>#N/A</v>
      </c>
      <c r="I31" s="66">
        <v>0</v>
      </c>
      <c r="J31" s="78" t="e">
        <f>IF(VLOOKUP($B31,'اداری 1'!$C:$AA,21,0)="",0,VLOOKUP($B31,'اداری 1'!$C:$AA,21,0))</f>
        <v>#N/A</v>
      </c>
      <c r="K31" s="78">
        <v>0</v>
      </c>
      <c r="L31" s="78">
        <v>0</v>
      </c>
      <c r="M31" s="78">
        <v>0</v>
      </c>
      <c r="N31" s="78" t="e">
        <f>IF(VLOOKUP($B31,'اداری 1'!$C:$AA,17,0)="",0,VLOOKUP($B31,'اداری 1'!$C:$AA,17,0))</f>
        <v>#N/A</v>
      </c>
      <c r="O31" s="67">
        <v>0</v>
      </c>
      <c r="P31" s="68" t="e">
        <f t="shared" si="0"/>
        <v>#N/A</v>
      </c>
      <c r="Q31" s="155" t="e">
        <f t="shared" si="1"/>
        <v>#N/A</v>
      </c>
      <c r="R31" s="68" t="e">
        <f t="shared" si="2"/>
        <v>#N/A</v>
      </c>
      <c r="S31" s="68" t="e">
        <f t="shared" si="3"/>
        <v>#N/A</v>
      </c>
      <c r="T31" s="107">
        <f>VLOOKUP(C31,'خلاصه عملکرد'!D:E,1,0)</f>
        <v>14327</v>
      </c>
    </row>
    <row r="32" spans="1:20" s="69" customFormat="1" ht="21" x14ac:dyDescent="0.55000000000000004">
      <c r="A32" s="76">
        <v>311</v>
      </c>
      <c r="B32" s="102">
        <v>310</v>
      </c>
      <c r="C32" s="102">
        <v>14328</v>
      </c>
      <c r="D32" s="77" t="s">
        <v>366</v>
      </c>
      <c r="E32" s="78" t="e">
        <f>VLOOKUP($B32,'اداری 1'!C:AB,4,0)</f>
        <v>#N/A</v>
      </c>
      <c r="F32" s="78" t="e">
        <f>VLOOKUP($B32,'اداری 1'!$C:$AA,13,0)</f>
        <v>#N/A</v>
      </c>
      <c r="G32" s="78" t="e">
        <f>VLOOKUP($B32,'اداری 1'!$C:$AA,13,0)</f>
        <v>#N/A</v>
      </c>
      <c r="H32" s="78" t="e">
        <f>VLOOKUP($B32,'اداری 1'!$C:$AA,20,0)</f>
        <v>#N/A</v>
      </c>
      <c r="I32" s="66">
        <v>0</v>
      </c>
      <c r="J32" s="78" t="e">
        <f>IF(VLOOKUP($B32,'اداری 1'!$C:$AA,21,0)="",0,VLOOKUP($B32,'اداری 1'!$C:$AA,21,0))</f>
        <v>#N/A</v>
      </c>
      <c r="K32" s="78">
        <v>0</v>
      </c>
      <c r="L32" s="78">
        <v>0</v>
      </c>
      <c r="M32" s="78">
        <v>0</v>
      </c>
      <c r="N32" s="78" t="e">
        <f>IF(VLOOKUP($B32,'اداری 1'!$C:$AA,17,0)="",0,VLOOKUP($B32,'اداری 1'!$C:$AA,17,0))</f>
        <v>#N/A</v>
      </c>
      <c r="O32" s="67">
        <v>0</v>
      </c>
      <c r="P32" s="68" t="e">
        <f t="shared" si="0"/>
        <v>#N/A</v>
      </c>
      <c r="Q32" s="155" t="e">
        <f t="shared" si="1"/>
        <v>#N/A</v>
      </c>
      <c r="R32" s="68" t="e">
        <f t="shared" si="2"/>
        <v>#N/A</v>
      </c>
      <c r="S32" s="68" t="e">
        <f t="shared" si="3"/>
        <v>#N/A</v>
      </c>
      <c r="T32" s="107">
        <f>VLOOKUP(C32,'خلاصه عملکرد'!D:E,1,0)</f>
        <v>14328</v>
      </c>
    </row>
    <row r="33" spans="1:20" s="69" customFormat="1" ht="21" x14ac:dyDescent="0.55000000000000004">
      <c r="A33" s="76">
        <v>317</v>
      </c>
      <c r="B33" s="102">
        <v>311</v>
      </c>
      <c r="C33" s="102">
        <v>14329</v>
      </c>
      <c r="D33" s="77" t="s">
        <v>367</v>
      </c>
      <c r="E33" s="78" t="e">
        <f>VLOOKUP($B33,'اداری 1'!C:AB,4,0)</f>
        <v>#N/A</v>
      </c>
      <c r="F33" s="78" t="e">
        <f>VLOOKUP($B33,'اداری 1'!$C:$AA,13,0)</f>
        <v>#N/A</v>
      </c>
      <c r="G33" s="78" t="e">
        <f>VLOOKUP($B33,'اداری 1'!$C:$AA,13,0)</f>
        <v>#N/A</v>
      </c>
      <c r="H33" s="78" t="e">
        <f>VLOOKUP($B33,'اداری 1'!$C:$AA,20,0)</f>
        <v>#N/A</v>
      </c>
      <c r="I33" s="66">
        <v>0</v>
      </c>
      <c r="J33" s="78" t="e">
        <f>IF(VLOOKUP($B33,'اداری 1'!$C:$AA,21,0)="",0,VLOOKUP($B33,'اداری 1'!$C:$AA,21,0))</f>
        <v>#N/A</v>
      </c>
      <c r="K33" s="78">
        <v>0</v>
      </c>
      <c r="L33" s="78">
        <v>0</v>
      </c>
      <c r="M33" s="78">
        <v>0</v>
      </c>
      <c r="N33" s="78" t="e">
        <f>IF(VLOOKUP($B33,'اداری 1'!$C:$AA,17,0)="",0,VLOOKUP($B33,'اداری 1'!$C:$AA,17,0))</f>
        <v>#N/A</v>
      </c>
      <c r="O33" s="67">
        <v>0</v>
      </c>
      <c r="P33" s="68" t="e">
        <f t="shared" si="0"/>
        <v>#N/A</v>
      </c>
      <c r="Q33" s="155" t="e">
        <f t="shared" si="1"/>
        <v>#N/A</v>
      </c>
      <c r="R33" s="68" t="e">
        <f t="shared" si="2"/>
        <v>#N/A</v>
      </c>
      <c r="S33" s="68" t="e">
        <f t="shared" si="3"/>
        <v>#N/A</v>
      </c>
      <c r="T33" s="107">
        <f>VLOOKUP(C33,'خلاصه عملکرد'!D:E,1,0)</f>
        <v>14329</v>
      </c>
    </row>
    <row r="34" spans="1:20" s="69" customFormat="1" ht="21" x14ac:dyDescent="0.55000000000000004">
      <c r="A34" s="76">
        <v>326</v>
      </c>
      <c r="B34" s="102">
        <v>317</v>
      </c>
      <c r="C34" s="102">
        <v>14331</v>
      </c>
      <c r="D34" s="77" t="s">
        <v>204</v>
      </c>
      <c r="E34" s="78" t="e">
        <f>VLOOKUP($B34,'اداری 1'!C:AB,4,0)</f>
        <v>#N/A</v>
      </c>
      <c r="F34" s="78" t="e">
        <f>VLOOKUP($B34,'اداری 1'!$C:$AA,13,0)</f>
        <v>#N/A</v>
      </c>
      <c r="G34" s="78" t="e">
        <f>VLOOKUP($B34,'اداری 1'!$C:$AA,13,0)</f>
        <v>#N/A</v>
      </c>
      <c r="H34" s="78" t="e">
        <f>VLOOKUP($B34,'اداری 1'!$C:$AA,20,0)</f>
        <v>#N/A</v>
      </c>
      <c r="I34" s="66">
        <v>0</v>
      </c>
      <c r="J34" s="78" t="e">
        <f>IF(VLOOKUP($B34,'اداری 1'!$C:$AA,21,0)="",0,VLOOKUP($B34,'اداری 1'!$C:$AA,21,0))</f>
        <v>#N/A</v>
      </c>
      <c r="K34" s="78">
        <v>0</v>
      </c>
      <c r="L34" s="78">
        <v>0</v>
      </c>
      <c r="M34" s="78">
        <v>0</v>
      </c>
      <c r="N34" s="78" t="e">
        <f>IF(VLOOKUP($B34,'اداری 1'!$C:$AA,17,0)="",0,VLOOKUP($B34,'اداری 1'!$C:$AA,17,0))</f>
        <v>#N/A</v>
      </c>
      <c r="O34" s="67">
        <v>0</v>
      </c>
      <c r="P34" s="68" t="e">
        <f t="shared" si="0"/>
        <v>#N/A</v>
      </c>
      <c r="Q34" s="155" t="e">
        <f t="shared" si="1"/>
        <v>#N/A</v>
      </c>
      <c r="R34" s="68" t="e">
        <f t="shared" si="2"/>
        <v>#N/A</v>
      </c>
      <c r="S34" s="68" t="e">
        <f t="shared" si="3"/>
        <v>#N/A</v>
      </c>
      <c r="T34" s="107">
        <f>VLOOKUP(C34,'خلاصه عملکرد'!D:E,1,0)</f>
        <v>14331</v>
      </c>
    </row>
    <row r="35" spans="1:20" s="69" customFormat="1" ht="21" x14ac:dyDescent="0.55000000000000004">
      <c r="A35" s="76">
        <v>328</v>
      </c>
      <c r="B35" s="102">
        <v>326</v>
      </c>
      <c r="C35" s="102">
        <v>14340</v>
      </c>
      <c r="D35" s="77" t="s">
        <v>293</v>
      </c>
      <c r="E35" s="78" t="e">
        <f>VLOOKUP($B35,'اداری 1'!C:AB,4,0)</f>
        <v>#N/A</v>
      </c>
      <c r="F35" s="78" t="e">
        <f>VLOOKUP($B35,'اداری 1'!$C:$AA,13,0)</f>
        <v>#N/A</v>
      </c>
      <c r="G35" s="78" t="e">
        <f>VLOOKUP($B35,'اداری 1'!$C:$AA,13,0)</f>
        <v>#N/A</v>
      </c>
      <c r="H35" s="78" t="e">
        <f>VLOOKUP($B35,'اداری 1'!$C:$AA,20,0)</f>
        <v>#N/A</v>
      </c>
      <c r="I35" s="66">
        <v>0</v>
      </c>
      <c r="J35" s="78" t="e">
        <f>IF(VLOOKUP($B35,'اداری 1'!$C:$AA,21,0)="",0,VLOOKUP($B35,'اداری 1'!$C:$AA,21,0))</f>
        <v>#N/A</v>
      </c>
      <c r="K35" s="78">
        <v>0</v>
      </c>
      <c r="L35" s="78">
        <v>0</v>
      </c>
      <c r="M35" s="78">
        <v>0</v>
      </c>
      <c r="N35" s="78" t="e">
        <f>IF(VLOOKUP($B35,'اداری 1'!$C:$AA,17,0)="",0,VLOOKUP($B35,'اداری 1'!$C:$AA,17,0))</f>
        <v>#N/A</v>
      </c>
      <c r="O35" s="67">
        <v>0</v>
      </c>
      <c r="P35" s="68" t="e">
        <f t="shared" si="0"/>
        <v>#N/A</v>
      </c>
      <c r="Q35" s="155" t="e">
        <f t="shared" si="1"/>
        <v>#N/A</v>
      </c>
      <c r="R35" s="68" t="e">
        <f t="shared" si="2"/>
        <v>#N/A</v>
      </c>
      <c r="S35" s="68" t="e">
        <f t="shared" si="3"/>
        <v>#N/A</v>
      </c>
      <c r="T35" s="107">
        <f>VLOOKUP(C35,'خلاصه عملکرد'!D:E,1,0)</f>
        <v>14340</v>
      </c>
    </row>
    <row r="36" spans="1:20" s="69" customFormat="1" ht="21" x14ac:dyDescent="0.55000000000000004">
      <c r="A36" s="76">
        <v>373</v>
      </c>
      <c r="B36" s="102">
        <v>390</v>
      </c>
      <c r="C36" s="102">
        <v>14395</v>
      </c>
      <c r="D36" s="77" t="s">
        <v>237</v>
      </c>
      <c r="E36" s="78" t="e">
        <f>VLOOKUP($B36,'اداری 1'!C:AB,4,0)</f>
        <v>#N/A</v>
      </c>
      <c r="F36" s="78" t="e">
        <f>VLOOKUP($B36,'اداری 1'!$C:$AA,13,0)</f>
        <v>#N/A</v>
      </c>
      <c r="G36" s="78" t="e">
        <f>VLOOKUP($B36,'اداری 1'!$C:$AA,13,0)</f>
        <v>#N/A</v>
      </c>
      <c r="H36" s="78" t="e">
        <f>VLOOKUP($B36,'اداری 1'!$C:$AA,20,0)</f>
        <v>#N/A</v>
      </c>
      <c r="I36" s="66">
        <v>0</v>
      </c>
      <c r="J36" s="78" t="e">
        <f>IF(VLOOKUP($B36,'اداری 1'!$C:$AA,21,0)="",0,VLOOKUP($B36,'اداری 1'!$C:$AA,21,0))</f>
        <v>#N/A</v>
      </c>
      <c r="K36" s="78">
        <v>0</v>
      </c>
      <c r="L36" s="78">
        <v>0</v>
      </c>
      <c r="M36" s="78">
        <v>0</v>
      </c>
      <c r="N36" s="78" t="e">
        <f>IF(VLOOKUP($B36,'اداری 1'!$C:$AA,17,0)="",0,VLOOKUP($B36,'اداری 1'!$C:$AA,17,0))</f>
        <v>#N/A</v>
      </c>
      <c r="O36" s="67">
        <v>0</v>
      </c>
      <c r="P36" s="68" t="e">
        <f t="shared" ref="P36:P67" si="4">DAY(F36)*24+HOUR(F36)</f>
        <v>#N/A</v>
      </c>
      <c r="Q36" s="155" t="e">
        <f t="shared" ref="Q36:Q67" si="5">MINUTE(F36)</f>
        <v>#N/A</v>
      </c>
      <c r="R36" s="68" t="e">
        <f t="shared" ref="R36:R67" si="6">DAY(H36)*24+HOUR(H36)</f>
        <v>#N/A</v>
      </c>
      <c r="S36" s="68" t="e">
        <f t="shared" ref="S36:S67" si="7">MINUTE(H36)</f>
        <v>#N/A</v>
      </c>
      <c r="T36" s="107">
        <f>VLOOKUP(C36,'خلاصه عملکرد'!D:E,1,0)</f>
        <v>14395</v>
      </c>
    </row>
    <row r="37" spans="1:20" s="69" customFormat="1" ht="21" x14ac:dyDescent="0.55000000000000004">
      <c r="A37" s="76">
        <v>390</v>
      </c>
      <c r="B37" s="102">
        <v>402</v>
      </c>
      <c r="C37" s="102">
        <v>14396</v>
      </c>
      <c r="D37" s="77" t="s">
        <v>239</v>
      </c>
      <c r="E37" s="78" t="e">
        <f>VLOOKUP($B37,'اداری 1'!C:AB,4,0)</f>
        <v>#N/A</v>
      </c>
      <c r="F37" s="78" t="e">
        <f>VLOOKUP($B37,'اداری 1'!$C:$AA,13,0)</f>
        <v>#N/A</v>
      </c>
      <c r="G37" s="78" t="e">
        <f>VLOOKUP($B37,'اداری 1'!$C:$AA,13,0)</f>
        <v>#N/A</v>
      </c>
      <c r="H37" s="78" t="e">
        <f>VLOOKUP($B37,'اداری 1'!$C:$AA,20,0)</f>
        <v>#N/A</v>
      </c>
      <c r="I37" s="66">
        <v>0</v>
      </c>
      <c r="J37" s="78" t="e">
        <f>IF(VLOOKUP($B37,'اداری 1'!$C:$AA,21,0)="",0,VLOOKUP($B37,'اداری 1'!$C:$AA,21,0))</f>
        <v>#N/A</v>
      </c>
      <c r="K37" s="78">
        <v>0</v>
      </c>
      <c r="L37" s="78">
        <v>0</v>
      </c>
      <c r="M37" s="78">
        <v>0</v>
      </c>
      <c r="N37" s="78" t="e">
        <f>IF(VLOOKUP($B37,'اداری 1'!$C:$AA,17,0)="",0,VLOOKUP($B37,'اداری 1'!$C:$AA,17,0))</f>
        <v>#N/A</v>
      </c>
      <c r="O37" s="67">
        <v>0</v>
      </c>
      <c r="P37" s="68" t="e">
        <f t="shared" si="4"/>
        <v>#N/A</v>
      </c>
      <c r="Q37" s="155" t="e">
        <f t="shared" si="5"/>
        <v>#N/A</v>
      </c>
      <c r="R37" s="68" t="e">
        <f t="shared" si="6"/>
        <v>#N/A</v>
      </c>
      <c r="S37" s="68" t="e">
        <f t="shared" si="7"/>
        <v>#N/A</v>
      </c>
      <c r="T37" s="107">
        <f>VLOOKUP(C37,'خلاصه عملکرد'!D:E,1,0)</f>
        <v>14396</v>
      </c>
    </row>
    <row r="38" spans="1:20" s="69" customFormat="1" ht="21" x14ac:dyDescent="0.55000000000000004">
      <c r="A38" s="76">
        <v>509</v>
      </c>
      <c r="B38" s="102">
        <v>435</v>
      </c>
      <c r="C38" s="102">
        <v>14417</v>
      </c>
      <c r="D38" s="77" t="s">
        <v>368</v>
      </c>
      <c r="E38" s="78" t="e">
        <f>VLOOKUP($B38,'اداری 1'!C:AB,4,0)</f>
        <v>#N/A</v>
      </c>
      <c r="F38" s="78" t="e">
        <f>VLOOKUP($B38,'اداری 1'!$C:$AA,13,0)</f>
        <v>#N/A</v>
      </c>
      <c r="G38" s="78" t="e">
        <f>VLOOKUP($B38,'اداری 1'!$C:$AA,13,0)</f>
        <v>#N/A</v>
      </c>
      <c r="H38" s="78" t="e">
        <f>VLOOKUP($B38,'اداری 1'!$C:$AA,20,0)</f>
        <v>#N/A</v>
      </c>
      <c r="I38" s="66">
        <v>0</v>
      </c>
      <c r="J38" s="78" t="e">
        <f>IF(VLOOKUP($B38,'اداری 1'!$C:$AA,21,0)="",0,VLOOKUP($B38,'اداری 1'!$C:$AA,21,0))</f>
        <v>#N/A</v>
      </c>
      <c r="K38" s="78">
        <v>0</v>
      </c>
      <c r="L38" s="78">
        <v>0</v>
      </c>
      <c r="M38" s="78">
        <v>0</v>
      </c>
      <c r="N38" s="78" t="e">
        <f>IF(VLOOKUP($B38,'اداری 1'!$C:$AA,17,0)="",0,VLOOKUP($B38,'اداری 1'!$C:$AA,17,0))</f>
        <v>#N/A</v>
      </c>
      <c r="O38" s="67">
        <v>0</v>
      </c>
      <c r="P38" s="68" t="e">
        <f t="shared" si="4"/>
        <v>#N/A</v>
      </c>
      <c r="Q38" s="155" t="e">
        <f t="shared" si="5"/>
        <v>#N/A</v>
      </c>
      <c r="R38" s="68" t="e">
        <f t="shared" si="6"/>
        <v>#N/A</v>
      </c>
      <c r="S38" s="68" t="e">
        <f t="shared" si="7"/>
        <v>#N/A</v>
      </c>
      <c r="T38" s="107">
        <f>VLOOKUP(C38,'خلاصه عملکرد'!D:E,1,0)</f>
        <v>14417</v>
      </c>
    </row>
    <row r="39" spans="1:20" s="69" customFormat="1" ht="21" x14ac:dyDescent="0.55000000000000004">
      <c r="A39" s="76">
        <v>525</v>
      </c>
      <c r="B39" s="102">
        <v>446</v>
      </c>
      <c r="C39" s="102">
        <v>14425</v>
      </c>
      <c r="D39" s="77" t="s">
        <v>481</v>
      </c>
      <c r="E39" s="78" t="e">
        <f>VLOOKUP($B39,'اداری 1'!C:AB,4,0)</f>
        <v>#N/A</v>
      </c>
      <c r="F39" s="78" t="e">
        <f>VLOOKUP($B39,'اداری 1'!$C:$AA,13,0)</f>
        <v>#N/A</v>
      </c>
      <c r="G39" s="78" t="e">
        <f>VLOOKUP($B39,'اداری 1'!$C:$AA,13,0)</f>
        <v>#N/A</v>
      </c>
      <c r="H39" s="78" t="e">
        <f>VLOOKUP($B39,'اداری 1'!$C:$AA,20,0)</f>
        <v>#N/A</v>
      </c>
      <c r="I39" s="66">
        <v>0</v>
      </c>
      <c r="J39" s="78" t="e">
        <f>IF(VLOOKUP($B39,'اداری 1'!$C:$AA,21,0)="",0,VLOOKUP($B39,'اداری 1'!$C:$AA,21,0))</f>
        <v>#N/A</v>
      </c>
      <c r="K39" s="78">
        <v>0</v>
      </c>
      <c r="L39" s="78">
        <v>0</v>
      </c>
      <c r="M39" s="78">
        <v>0</v>
      </c>
      <c r="N39" s="78" t="e">
        <f>IF(VLOOKUP($B39,'اداری 1'!$C:$AA,17,0)="",0,VLOOKUP($B39,'اداری 1'!$C:$AA,17,0))</f>
        <v>#N/A</v>
      </c>
      <c r="O39" s="67">
        <v>0</v>
      </c>
      <c r="P39" s="68" t="e">
        <f t="shared" si="4"/>
        <v>#N/A</v>
      </c>
      <c r="Q39" s="155" t="e">
        <f t="shared" si="5"/>
        <v>#N/A</v>
      </c>
      <c r="R39" s="68" t="e">
        <f t="shared" si="6"/>
        <v>#N/A</v>
      </c>
      <c r="S39" s="68" t="e">
        <f t="shared" si="7"/>
        <v>#N/A</v>
      </c>
      <c r="T39" s="107">
        <f>VLOOKUP(C39,'خلاصه عملکرد'!D:E,1,0)</f>
        <v>14425</v>
      </c>
    </row>
    <row r="40" spans="1:20" s="69" customFormat="1" ht="21" x14ac:dyDescent="0.55000000000000004">
      <c r="A40" s="76">
        <v>527</v>
      </c>
      <c r="B40" s="102">
        <v>472</v>
      </c>
      <c r="C40" s="102">
        <v>14445</v>
      </c>
      <c r="D40" s="77" t="s">
        <v>345</v>
      </c>
      <c r="E40" s="78" t="e">
        <f>VLOOKUP($B40,'اداری 1'!C:AB,4,0)</f>
        <v>#N/A</v>
      </c>
      <c r="F40" s="78" t="e">
        <f>VLOOKUP($B40,'اداری 1'!$C:$AA,13,0)</f>
        <v>#N/A</v>
      </c>
      <c r="G40" s="78" t="e">
        <f>VLOOKUP($B40,'اداری 1'!$C:$AA,13,0)</f>
        <v>#N/A</v>
      </c>
      <c r="H40" s="78" t="e">
        <f>VLOOKUP($B40,'اداری 1'!$C:$AA,20,0)</f>
        <v>#N/A</v>
      </c>
      <c r="I40" s="66">
        <v>0</v>
      </c>
      <c r="J40" s="78" t="e">
        <f>IF(VLOOKUP($B40,'اداری 1'!$C:$AA,21,0)="",0,VLOOKUP($B40,'اداری 1'!$C:$AA,21,0))</f>
        <v>#N/A</v>
      </c>
      <c r="K40" s="78">
        <v>0</v>
      </c>
      <c r="L40" s="78">
        <v>0</v>
      </c>
      <c r="M40" s="78">
        <v>0</v>
      </c>
      <c r="N40" s="78" t="e">
        <f>IF(VLOOKUP($B40,'اداری 1'!$C:$AA,17,0)="",0,VLOOKUP($B40,'اداری 1'!$C:$AA,17,0))</f>
        <v>#N/A</v>
      </c>
      <c r="O40" s="67">
        <v>0</v>
      </c>
      <c r="P40" s="68" t="e">
        <f t="shared" si="4"/>
        <v>#N/A</v>
      </c>
      <c r="Q40" s="155" t="e">
        <f t="shared" si="5"/>
        <v>#N/A</v>
      </c>
      <c r="R40" s="68" t="e">
        <f t="shared" si="6"/>
        <v>#N/A</v>
      </c>
      <c r="S40" s="68" t="e">
        <f t="shared" si="7"/>
        <v>#N/A</v>
      </c>
      <c r="T40" s="107">
        <f>VLOOKUP(C40,'خلاصه عملکرد'!D:E,1,0)</f>
        <v>14445</v>
      </c>
    </row>
    <row r="41" spans="1:20" s="69" customFormat="1" ht="21" x14ac:dyDescent="0.55000000000000004">
      <c r="A41" s="76">
        <v>551</v>
      </c>
      <c r="B41" s="102">
        <v>509</v>
      </c>
      <c r="C41" s="102">
        <v>14466</v>
      </c>
      <c r="D41" s="77" t="s">
        <v>357</v>
      </c>
      <c r="E41" s="78" t="e">
        <f>VLOOKUP($B41,'اداری 1'!C:AB,4,0)</f>
        <v>#N/A</v>
      </c>
      <c r="F41" s="78" t="e">
        <f>VLOOKUP($B41,'اداری 1'!$C:$AA,13,0)</f>
        <v>#N/A</v>
      </c>
      <c r="G41" s="78" t="e">
        <f>VLOOKUP($B41,'اداری 1'!$C:$AA,13,0)</f>
        <v>#N/A</v>
      </c>
      <c r="H41" s="78" t="e">
        <f>VLOOKUP($B41,'اداری 1'!$C:$AA,20,0)</f>
        <v>#N/A</v>
      </c>
      <c r="I41" s="66">
        <v>0</v>
      </c>
      <c r="J41" s="78" t="e">
        <f>IF(VLOOKUP($B41,'اداری 1'!$C:$AA,21,0)="",0,VLOOKUP($B41,'اداری 1'!$C:$AA,21,0))</f>
        <v>#N/A</v>
      </c>
      <c r="K41" s="78">
        <v>0</v>
      </c>
      <c r="L41" s="78">
        <v>0</v>
      </c>
      <c r="M41" s="78">
        <v>0</v>
      </c>
      <c r="N41" s="78" t="e">
        <f>IF(VLOOKUP($B41,'اداری 1'!$C:$AA,17,0)="",0,VLOOKUP($B41,'اداری 1'!$C:$AA,17,0))</f>
        <v>#N/A</v>
      </c>
      <c r="O41" s="67">
        <v>0</v>
      </c>
      <c r="P41" s="68" t="e">
        <f t="shared" si="4"/>
        <v>#N/A</v>
      </c>
      <c r="Q41" s="155" t="e">
        <f t="shared" si="5"/>
        <v>#N/A</v>
      </c>
      <c r="R41" s="68" t="e">
        <f t="shared" si="6"/>
        <v>#N/A</v>
      </c>
      <c r="S41" s="68" t="e">
        <f t="shared" si="7"/>
        <v>#N/A</v>
      </c>
      <c r="T41" s="107">
        <f>VLOOKUP(C41,'خلاصه عملکرد'!D:E,1,0)</f>
        <v>14466</v>
      </c>
    </row>
    <row r="42" spans="1:20" s="69" customFormat="1" ht="21" x14ac:dyDescent="0.55000000000000004">
      <c r="A42" s="76">
        <v>580</v>
      </c>
      <c r="B42" s="102">
        <v>551</v>
      </c>
      <c r="C42" s="102">
        <v>14546</v>
      </c>
      <c r="D42" s="77" t="s">
        <v>338</v>
      </c>
      <c r="E42" s="78" t="e">
        <f>VLOOKUP($B42,'اداری 1'!C:AB,4,0)</f>
        <v>#N/A</v>
      </c>
      <c r="F42" s="78" t="e">
        <f>VLOOKUP($B42,'اداری 1'!$C:$AA,13,0)</f>
        <v>#N/A</v>
      </c>
      <c r="G42" s="78" t="e">
        <f>VLOOKUP($B42,'اداری 1'!$C:$AA,13,0)</f>
        <v>#N/A</v>
      </c>
      <c r="H42" s="78" t="e">
        <f>VLOOKUP($B42,'اداری 1'!$C:$AA,20,0)</f>
        <v>#N/A</v>
      </c>
      <c r="I42" s="66">
        <v>0</v>
      </c>
      <c r="J42" s="78" t="e">
        <f>IF(VLOOKUP($B42,'اداری 1'!$C:$AA,21,0)="",0,VLOOKUP($B42,'اداری 1'!$C:$AA,21,0))</f>
        <v>#N/A</v>
      </c>
      <c r="K42" s="78">
        <v>0</v>
      </c>
      <c r="L42" s="78">
        <v>0</v>
      </c>
      <c r="M42" s="78">
        <v>0</v>
      </c>
      <c r="N42" s="78" t="e">
        <f>IF(VLOOKUP($B42,'اداری 1'!$C:$AA,17,0)="",0,VLOOKUP($B42,'اداری 1'!$C:$AA,17,0))</f>
        <v>#N/A</v>
      </c>
      <c r="O42" s="67">
        <v>0</v>
      </c>
      <c r="P42" s="68" t="e">
        <f t="shared" si="4"/>
        <v>#N/A</v>
      </c>
      <c r="Q42" s="155" t="e">
        <f t="shared" si="5"/>
        <v>#N/A</v>
      </c>
      <c r="R42" s="68" t="e">
        <f t="shared" si="6"/>
        <v>#N/A</v>
      </c>
      <c r="S42" s="68" t="e">
        <f t="shared" si="7"/>
        <v>#N/A</v>
      </c>
      <c r="T42" s="107">
        <f>VLOOKUP(C42,'خلاصه عملکرد'!D:E,1,0)</f>
        <v>14546</v>
      </c>
    </row>
    <row r="43" spans="1:20" s="69" customFormat="1" ht="21" x14ac:dyDescent="0.55000000000000004">
      <c r="A43" s="76">
        <v>590</v>
      </c>
      <c r="B43" s="102">
        <v>560</v>
      </c>
      <c r="C43" s="102">
        <v>14517</v>
      </c>
      <c r="D43" s="77" t="s">
        <v>369</v>
      </c>
      <c r="E43" s="78" t="e">
        <f>VLOOKUP($B43,'اداری 1'!C:AB,4,0)</f>
        <v>#N/A</v>
      </c>
      <c r="F43" s="78" t="e">
        <f>VLOOKUP($B43,'اداری 1'!$C:$AA,13,0)</f>
        <v>#N/A</v>
      </c>
      <c r="G43" s="78" t="e">
        <f>VLOOKUP($B43,'اداری 1'!$C:$AA,13,0)</f>
        <v>#N/A</v>
      </c>
      <c r="H43" s="78" t="e">
        <f>VLOOKUP($B43,'اداری 1'!$C:$AA,20,0)</f>
        <v>#N/A</v>
      </c>
      <c r="I43" s="66">
        <v>0</v>
      </c>
      <c r="J43" s="78" t="e">
        <f>IF(VLOOKUP($B43,'اداری 1'!$C:$AA,21,0)="",0,VLOOKUP($B43,'اداری 1'!$C:$AA,21,0))</f>
        <v>#N/A</v>
      </c>
      <c r="K43" s="78">
        <v>0</v>
      </c>
      <c r="L43" s="78">
        <v>0</v>
      </c>
      <c r="M43" s="78">
        <v>0</v>
      </c>
      <c r="N43" s="78" t="e">
        <f>IF(VLOOKUP($B43,'اداری 1'!$C:$AA,17,0)="",0,VLOOKUP($B43,'اداری 1'!$C:$AA,17,0))</f>
        <v>#N/A</v>
      </c>
      <c r="O43" s="67">
        <v>0</v>
      </c>
      <c r="P43" s="68" t="e">
        <f t="shared" si="4"/>
        <v>#N/A</v>
      </c>
      <c r="Q43" s="155" t="e">
        <f t="shared" si="5"/>
        <v>#N/A</v>
      </c>
      <c r="R43" s="68" t="e">
        <f t="shared" si="6"/>
        <v>#N/A</v>
      </c>
      <c r="S43" s="68" t="e">
        <f t="shared" si="7"/>
        <v>#N/A</v>
      </c>
      <c r="T43" s="107">
        <f>VLOOKUP(C43,'خلاصه عملکرد'!D:E,1,0)</f>
        <v>14517</v>
      </c>
    </row>
    <row r="44" spans="1:20" s="69" customFormat="1" ht="21" x14ac:dyDescent="0.55000000000000004">
      <c r="A44" s="76">
        <v>595</v>
      </c>
      <c r="B44" s="102">
        <v>580</v>
      </c>
      <c r="C44" s="102">
        <v>14531</v>
      </c>
      <c r="D44" s="77" t="s">
        <v>370</v>
      </c>
      <c r="E44" s="78" t="e">
        <f>VLOOKUP($B44,'اداری 1'!C:AB,4,0)</f>
        <v>#N/A</v>
      </c>
      <c r="F44" s="78" t="e">
        <f>VLOOKUP($B44,'اداری 1'!$C:$AA,13,0)</f>
        <v>#N/A</v>
      </c>
      <c r="G44" s="78" t="e">
        <f>VLOOKUP($B44,'اداری 1'!$C:$AA,13,0)</f>
        <v>#N/A</v>
      </c>
      <c r="H44" s="78" t="e">
        <f>VLOOKUP($B44,'اداری 1'!$C:$AA,20,0)</f>
        <v>#N/A</v>
      </c>
      <c r="I44" s="66">
        <v>0</v>
      </c>
      <c r="J44" s="78" t="e">
        <f>IF(VLOOKUP($B44,'اداری 1'!$C:$AA,21,0)="",0,VLOOKUP($B44,'اداری 1'!$C:$AA,21,0))</f>
        <v>#N/A</v>
      </c>
      <c r="K44" s="78">
        <v>0</v>
      </c>
      <c r="L44" s="78">
        <v>0</v>
      </c>
      <c r="M44" s="78">
        <v>0</v>
      </c>
      <c r="N44" s="78" t="e">
        <f>IF(VLOOKUP($B44,'اداری 1'!$C:$AA,17,0)="",0,VLOOKUP($B44,'اداری 1'!$C:$AA,17,0))</f>
        <v>#N/A</v>
      </c>
      <c r="O44" s="67">
        <v>0</v>
      </c>
      <c r="P44" s="68" t="e">
        <f t="shared" si="4"/>
        <v>#N/A</v>
      </c>
      <c r="Q44" s="155" t="e">
        <f t="shared" si="5"/>
        <v>#N/A</v>
      </c>
      <c r="R44" s="68" t="e">
        <f t="shared" si="6"/>
        <v>#N/A</v>
      </c>
      <c r="S44" s="68" t="e">
        <f t="shared" si="7"/>
        <v>#N/A</v>
      </c>
      <c r="T44" s="107">
        <f>VLOOKUP(C44,'خلاصه عملکرد'!D:E,1,0)</f>
        <v>14531</v>
      </c>
    </row>
    <row r="45" spans="1:20" s="69" customFormat="1" ht="21" x14ac:dyDescent="0.55000000000000004">
      <c r="A45" s="76">
        <v>598</v>
      </c>
      <c r="B45" s="102">
        <v>590</v>
      </c>
      <c r="C45" s="102">
        <v>14538</v>
      </c>
      <c r="D45" s="77" t="s">
        <v>329</v>
      </c>
      <c r="E45" s="78" t="e">
        <f>VLOOKUP($B45,'اداری 1'!C:AB,4,0)</f>
        <v>#N/A</v>
      </c>
      <c r="F45" s="78" t="e">
        <f>VLOOKUP($B45,'اداری 1'!$C:$AA,13,0)</f>
        <v>#N/A</v>
      </c>
      <c r="G45" s="78" t="e">
        <f>VLOOKUP($B45,'اداری 1'!$C:$AA,13,0)</f>
        <v>#N/A</v>
      </c>
      <c r="H45" s="78" t="e">
        <f>VLOOKUP($B45,'اداری 1'!$C:$AA,20,0)</f>
        <v>#N/A</v>
      </c>
      <c r="I45" s="66">
        <v>0</v>
      </c>
      <c r="J45" s="78" t="e">
        <f>IF(VLOOKUP($B45,'اداری 1'!$C:$AA,21,0)="",0,VLOOKUP($B45,'اداری 1'!$C:$AA,21,0))</f>
        <v>#N/A</v>
      </c>
      <c r="K45" s="78">
        <v>0</v>
      </c>
      <c r="L45" s="78">
        <v>0</v>
      </c>
      <c r="M45" s="78">
        <v>0</v>
      </c>
      <c r="N45" s="78" t="e">
        <f>IF(VLOOKUP($B45,'اداری 1'!$C:$AA,17,0)="",0,VLOOKUP($B45,'اداری 1'!$C:$AA,17,0))</f>
        <v>#N/A</v>
      </c>
      <c r="O45" s="67">
        <v>0</v>
      </c>
      <c r="P45" s="68" t="e">
        <f t="shared" si="4"/>
        <v>#N/A</v>
      </c>
      <c r="Q45" s="155" t="e">
        <f t="shared" si="5"/>
        <v>#N/A</v>
      </c>
      <c r="R45" s="68" t="e">
        <f t="shared" si="6"/>
        <v>#N/A</v>
      </c>
      <c r="S45" s="68" t="e">
        <f t="shared" si="7"/>
        <v>#N/A</v>
      </c>
      <c r="T45" s="107">
        <f>VLOOKUP(C45,'خلاصه عملکرد'!D:E,1,0)</f>
        <v>14538</v>
      </c>
    </row>
    <row r="46" spans="1:20" s="69" customFormat="1" ht="21" x14ac:dyDescent="0.55000000000000004">
      <c r="A46" s="76">
        <v>628</v>
      </c>
      <c r="B46" s="102">
        <v>595</v>
      </c>
      <c r="C46" s="102">
        <v>14537</v>
      </c>
      <c r="D46" s="77" t="s">
        <v>330</v>
      </c>
      <c r="E46" s="78" t="e">
        <f>VLOOKUP($B46,'اداری 1'!C:AB,4,0)</f>
        <v>#N/A</v>
      </c>
      <c r="F46" s="78" t="e">
        <f>VLOOKUP($B46,'اداری 1'!$C:$AA,13,0)</f>
        <v>#N/A</v>
      </c>
      <c r="G46" s="78" t="e">
        <f>VLOOKUP($B46,'اداری 1'!$C:$AA,13,0)</f>
        <v>#N/A</v>
      </c>
      <c r="H46" s="78" t="e">
        <f>VLOOKUP($B46,'اداری 1'!$C:$AA,20,0)</f>
        <v>#N/A</v>
      </c>
      <c r="I46" s="66">
        <v>0</v>
      </c>
      <c r="J46" s="78" t="e">
        <f>IF(VLOOKUP($B46,'اداری 1'!$C:$AA,21,0)="",0,VLOOKUP($B46,'اداری 1'!$C:$AA,21,0))</f>
        <v>#N/A</v>
      </c>
      <c r="K46" s="78">
        <v>0</v>
      </c>
      <c r="L46" s="78">
        <v>0</v>
      </c>
      <c r="M46" s="78">
        <v>0</v>
      </c>
      <c r="N46" s="78" t="e">
        <f>IF(VLOOKUP($B46,'اداری 1'!$C:$AA,17,0)="",0,VLOOKUP($B46,'اداری 1'!$C:$AA,17,0))</f>
        <v>#N/A</v>
      </c>
      <c r="O46" s="67">
        <v>0</v>
      </c>
      <c r="P46" s="68" t="e">
        <f t="shared" si="4"/>
        <v>#N/A</v>
      </c>
      <c r="Q46" s="155" t="e">
        <f t="shared" si="5"/>
        <v>#N/A</v>
      </c>
      <c r="R46" s="68" t="e">
        <f t="shared" si="6"/>
        <v>#N/A</v>
      </c>
      <c r="S46" s="68" t="e">
        <f t="shared" si="7"/>
        <v>#N/A</v>
      </c>
      <c r="T46" s="107">
        <f>VLOOKUP(C46,'خلاصه عملکرد'!D:E,1,0)</f>
        <v>14537</v>
      </c>
    </row>
    <row r="47" spans="1:20" s="69" customFormat="1" ht="21" x14ac:dyDescent="0.55000000000000004">
      <c r="A47" s="76">
        <v>634</v>
      </c>
      <c r="B47" s="102">
        <v>602</v>
      </c>
      <c r="C47" s="102">
        <v>14541</v>
      </c>
      <c r="D47" s="77" t="s">
        <v>331</v>
      </c>
      <c r="E47" s="78" t="e">
        <f>VLOOKUP($B47,'اداری 1'!C:AB,4,0)</f>
        <v>#N/A</v>
      </c>
      <c r="F47" s="78" t="e">
        <f>VLOOKUP($B47,'اداری 1'!$C:$AA,13,0)</f>
        <v>#N/A</v>
      </c>
      <c r="G47" s="78" t="e">
        <f>VLOOKUP($B47,'اداری 1'!$C:$AA,13,0)</f>
        <v>#N/A</v>
      </c>
      <c r="H47" s="78" t="e">
        <f>VLOOKUP($B47,'اداری 1'!$C:$AA,20,0)</f>
        <v>#N/A</v>
      </c>
      <c r="I47" s="66">
        <v>0</v>
      </c>
      <c r="J47" s="78" t="e">
        <f>IF(VLOOKUP($B47,'اداری 1'!$C:$AA,21,0)="",0,VLOOKUP($B47,'اداری 1'!$C:$AA,21,0))</f>
        <v>#N/A</v>
      </c>
      <c r="K47" s="78">
        <v>0</v>
      </c>
      <c r="L47" s="78">
        <v>0</v>
      </c>
      <c r="M47" s="78">
        <v>0</v>
      </c>
      <c r="N47" s="78" t="e">
        <f>IF(VLOOKUP($B47,'اداری 1'!$C:$AA,17,0)="",0,VLOOKUP($B47,'اداری 1'!$C:$AA,17,0))</f>
        <v>#N/A</v>
      </c>
      <c r="O47" s="67">
        <v>0</v>
      </c>
      <c r="P47" s="68" t="e">
        <f t="shared" si="4"/>
        <v>#N/A</v>
      </c>
      <c r="Q47" s="155" t="e">
        <f t="shared" si="5"/>
        <v>#N/A</v>
      </c>
      <c r="R47" s="68" t="e">
        <f t="shared" si="6"/>
        <v>#N/A</v>
      </c>
      <c r="S47" s="68" t="e">
        <f t="shared" si="7"/>
        <v>#N/A</v>
      </c>
      <c r="T47" s="107">
        <f>VLOOKUP(C47,'خلاصه عملکرد'!D:E,1,0)</f>
        <v>14541</v>
      </c>
    </row>
    <row r="48" spans="1:20" s="69" customFormat="1" ht="21" x14ac:dyDescent="0.55000000000000004">
      <c r="A48" s="76">
        <v>640</v>
      </c>
      <c r="B48" s="102">
        <v>628</v>
      </c>
      <c r="C48" s="102">
        <v>14554</v>
      </c>
      <c r="D48" s="77" t="s">
        <v>371</v>
      </c>
      <c r="E48" s="78" t="e">
        <f>VLOOKUP($B48,'اداری 1'!C:AB,4,0)</f>
        <v>#N/A</v>
      </c>
      <c r="F48" s="78" t="e">
        <f>VLOOKUP($B48,'اداری 1'!$C:$AA,13,0)</f>
        <v>#N/A</v>
      </c>
      <c r="G48" s="78" t="e">
        <f>VLOOKUP($B48,'اداری 1'!$C:$AA,13,0)</f>
        <v>#N/A</v>
      </c>
      <c r="H48" s="78" t="e">
        <f>VLOOKUP($B48,'اداری 1'!$C:$AA,20,0)</f>
        <v>#N/A</v>
      </c>
      <c r="I48" s="66">
        <v>0</v>
      </c>
      <c r="J48" s="78" t="e">
        <f>IF(VLOOKUP($B48,'اداری 1'!$C:$AA,21,0)="",0,VLOOKUP($B48,'اداری 1'!$C:$AA,21,0))</f>
        <v>#N/A</v>
      </c>
      <c r="K48" s="78">
        <v>0</v>
      </c>
      <c r="L48" s="78">
        <v>0</v>
      </c>
      <c r="M48" s="78">
        <v>0</v>
      </c>
      <c r="N48" s="78" t="e">
        <f>IF(VLOOKUP($B48,'اداری 1'!$C:$AA,17,0)="",0,VLOOKUP($B48,'اداری 1'!$C:$AA,17,0))</f>
        <v>#N/A</v>
      </c>
      <c r="O48" s="67">
        <v>0</v>
      </c>
      <c r="P48" s="68" t="e">
        <f t="shared" si="4"/>
        <v>#N/A</v>
      </c>
      <c r="Q48" s="155" t="e">
        <f t="shared" si="5"/>
        <v>#N/A</v>
      </c>
      <c r="R48" s="68" t="e">
        <f t="shared" si="6"/>
        <v>#N/A</v>
      </c>
      <c r="S48" s="68" t="e">
        <f t="shared" si="7"/>
        <v>#N/A</v>
      </c>
      <c r="T48" s="107">
        <f>VLOOKUP(C48,'خلاصه عملکرد'!D:E,1,0)</f>
        <v>14554</v>
      </c>
    </row>
    <row r="49" spans="1:20" s="69" customFormat="1" ht="21" x14ac:dyDescent="0.55000000000000004">
      <c r="A49" s="76">
        <v>644</v>
      </c>
      <c r="B49" s="102">
        <v>634</v>
      </c>
      <c r="C49" s="102">
        <v>14557</v>
      </c>
      <c r="D49" s="77" t="s">
        <v>391</v>
      </c>
      <c r="E49" s="78" t="e">
        <f>VLOOKUP($B49,'اداری 1'!C:AB,4,0)</f>
        <v>#N/A</v>
      </c>
      <c r="F49" s="78" t="e">
        <f>VLOOKUP($B49,'اداری 1'!$C:$AA,13,0)</f>
        <v>#N/A</v>
      </c>
      <c r="G49" s="78" t="e">
        <f>VLOOKUP($B49,'اداری 1'!$C:$AA,13,0)</f>
        <v>#N/A</v>
      </c>
      <c r="H49" s="78" t="e">
        <f>VLOOKUP($B49,'اداری 1'!$C:$AA,20,0)</f>
        <v>#N/A</v>
      </c>
      <c r="I49" s="66">
        <v>0</v>
      </c>
      <c r="J49" s="78" t="e">
        <f>IF(VLOOKUP($B49,'اداری 1'!$C:$AA,21,0)="",0,VLOOKUP($B49,'اداری 1'!$C:$AA,21,0))</f>
        <v>#N/A</v>
      </c>
      <c r="K49" s="78">
        <v>0</v>
      </c>
      <c r="L49" s="78">
        <v>0</v>
      </c>
      <c r="M49" s="78">
        <v>0</v>
      </c>
      <c r="N49" s="78" t="e">
        <f>IF(VLOOKUP($B49,'اداری 1'!$C:$AA,17,0)="",0,VLOOKUP($B49,'اداری 1'!$C:$AA,17,0))</f>
        <v>#N/A</v>
      </c>
      <c r="O49" s="67">
        <v>0</v>
      </c>
      <c r="P49" s="68" t="e">
        <f t="shared" si="4"/>
        <v>#N/A</v>
      </c>
      <c r="Q49" s="155" t="e">
        <f t="shared" si="5"/>
        <v>#N/A</v>
      </c>
      <c r="R49" s="68" t="e">
        <f t="shared" si="6"/>
        <v>#N/A</v>
      </c>
      <c r="S49" s="68" t="e">
        <f t="shared" si="7"/>
        <v>#N/A</v>
      </c>
      <c r="T49" s="107">
        <f>VLOOKUP(C49,'خلاصه عملکرد'!D:E,1,0)</f>
        <v>14557</v>
      </c>
    </row>
    <row r="50" spans="1:20" s="69" customFormat="1" ht="21" x14ac:dyDescent="0.55000000000000004">
      <c r="A50" s="76">
        <v>658</v>
      </c>
      <c r="B50" s="102">
        <v>644</v>
      </c>
      <c r="C50" s="102">
        <v>14570</v>
      </c>
      <c r="D50" s="77" t="s">
        <v>333</v>
      </c>
      <c r="E50" s="78" t="e">
        <f>VLOOKUP($B50,'اداری 1'!C:AB,4,0)</f>
        <v>#N/A</v>
      </c>
      <c r="F50" s="78" t="e">
        <f>VLOOKUP($B50,'اداری 1'!$C:$AA,13,0)</f>
        <v>#N/A</v>
      </c>
      <c r="G50" s="78" t="e">
        <f>VLOOKUP($B50,'اداری 1'!$C:$AA,13,0)</f>
        <v>#N/A</v>
      </c>
      <c r="H50" s="78" t="e">
        <f>VLOOKUP($B50,'اداری 1'!$C:$AA,20,0)</f>
        <v>#N/A</v>
      </c>
      <c r="I50" s="66">
        <v>0</v>
      </c>
      <c r="J50" s="78" t="e">
        <f>IF(VLOOKUP($B50,'اداری 1'!$C:$AA,21,0)="",0,VLOOKUP($B50,'اداری 1'!$C:$AA,21,0))</f>
        <v>#N/A</v>
      </c>
      <c r="K50" s="78">
        <v>0</v>
      </c>
      <c r="L50" s="78">
        <v>0</v>
      </c>
      <c r="M50" s="78">
        <v>0</v>
      </c>
      <c r="N50" s="78" t="e">
        <f>IF(VLOOKUP($B50,'اداری 1'!$C:$AA,17,0)="",0,VLOOKUP($B50,'اداری 1'!$C:$AA,17,0))</f>
        <v>#N/A</v>
      </c>
      <c r="O50" s="67">
        <v>0</v>
      </c>
      <c r="P50" s="68" t="e">
        <f t="shared" si="4"/>
        <v>#N/A</v>
      </c>
      <c r="Q50" s="155" t="e">
        <f t="shared" si="5"/>
        <v>#N/A</v>
      </c>
      <c r="R50" s="68" t="e">
        <f t="shared" si="6"/>
        <v>#N/A</v>
      </c>
      <c r="S50" s="68" t="e">
        <f t="shared" si="7"/>
        <v>#N/A</v>
      </c>
      <c r="T50" s="107">
        <f>VLOOKUP(C50,'خلاصه عملکرد'!D:E,1,0)</f>
        <v>14570</v>
      </c>
    </row>
    <row r="51" spans="1:20" s="69" customFormat="1" ht="21" x14ac:dyDescent="0.55000000000000004">
      <c r="A51" s="76">
        <v>680</v>
      </c>
      <c r="B51" s="102">
        <v>670</v>
      </c>
      <c r="C51" s="102">
        <v>14580</v>
      </c>
      <c r="D51" s="77" t="s">
        <v>334</v>
      </c>
      <c r="E51" s="78" t="e">
        <f>VLOOKUP($B51,'اداری 1'!C:AB,4,0)</f>
        <v>#N/A</v>
      </c>
      <c r="F51" s="78" t="e">
        <f>VLOOKUP($B51,'اداری 1'!$C:$AA,13,0)</f>
        <v>#N/A</v>
      </c>
      <c r="G51" s="78" t="e">
        <f>VLOOKUP($B51,'اداری 1'!$C:$AA,13,0)</f>
        <v>#N/A</v>
      </c>
      <c r="H51" s="78" t="e">
        <f>VLOOKUP($B51,'اداری 1'!$C:$AA,20,0)</f>
        <v>#N/A</v>
      </c>
      <c r="I51" s="66">
        <v>0</v>
      </c>
      <c r="J51" s="78" t="e">
        <f>IF(VLOOKUP($B51,'اداری 1'!$C:$AA,21,0)="",0,VLOOKUP($B51,'اداری 1'!$C:$AA,21,0))</f>
        <v>#N/A</v>
      </c>
      <c r="K51" s="78">
        <v>0</v>
      </c>
      <c r="L51" s="78">
        <v>0</v>
      </c>
      <c r="M51" s="78">
        <v>0</v>
      </c>
      <c r="N51" s="78" t="e">
        <f>IF(VLOOKUP($B51,'اداری 1'!$C:$AA,17,0)="",0,VLOOKUP($B51,'اداری 1'!$C:$AA,17,0))</f>
        <v>#N/A</v>
      </c>
      <c r="O51" s="67">
        <v>0</v>
      </c>
      <c r="P51" s="68" t="e">
        <f t="shared" si="4"/>
        <v>#N/A</v>
      </c>
      <c r="Q51" s="155" t="e">
        <f t="shared" si="5"/>
        <v>#N/A</v>
      </c>
      <c r="R51" s="68" t="e">
        <f t="shared" si="6"/>
        <v>#N/A</v>
      </c>
      <c r="S51" s="68" t="e">
        <f t="shared" si="7"/>
        <v>#N/A</v>
      </c>
      <c r="T51" s="107">
        <f>VLOOKUP(C51,'خلاصه عملکرد'!D:E,1,0)</f>
        <v>14580</v>
      </c>
    </row>
    <row r="52" spans="1:20" s="69" customFormat="1" ht="21" x14ac:dyDescent="0.55000000000000004">
      <c r="A52" s="76">
        <v>700</v>
      </c>
      <c r="B52" s="102">
        <v>686</v>
      </c>
      <c r="C52" s="102">
        <v>14592</v>
      </c>
      <c r="D52" s="77" t="s">
        <v>335</v>
      </c>
      <c r="E52" s="78" t="e">
        <f>VLOOKUP($B52,'اداری 1'!C:AB,4,0)</f>
        <v>#N/A</v>
      </c>
      <c r="F52" s="78" t="e">
        <f>VLOOKUP($B52,'اداری 1'!$C:$AA,13,0)</f>
        <v>#N/A</v>
      </c>
      <c r="G52" s="78" t="e">
        <f>VLOOKUP($B52,'اداری 1'!$C:$AA,13,0)</f>
        <v>#N/A</v>
      </c>
      <c r="H52" s="78" t="e">
        <f>VLOOKUP($B52,'اداری 1'!$C:$AA,20,0)</f>
        <v>#N/A</v>
      </c>
      <c r="I52" s="66">
        <v>0</v>
      </c>
      <c r="J52" s="78" t="e">
        <f>IF(VLOOKUP($B52,'اداری 1'!$C:$AA,21,0)="",0,VLOOKUP($B52,'اداری 1'!$C:$AA,21,0))</f>
        <v>#N/A</v>
      </c>
      <c r="K52" s="78">
        <v>0</v>
      </c>
      <c r="L52" s="78">
        <v>0</v>
      </c>
      <c r="M52" s="78">
        <v>0</v>
      </c>
      <c r="N52" s="78" t="e">
        <f>IF(VLOOKUP($B52,'اداری 1'!$C:$AA,17,0)="",0,VLOOKUP($B52,'اداری 1'!$C:$AA,17,0))</f>
        <v>#N/A</v>
      </c>
      <c r="O52" s="67">
        <v>0</v>
      </c>
      <c r="P52" s="68" t="e">
        <f t="shared" si="4"/>
        <v>#N/A</v>
      </c>
      <c r="Q52" s="155" t="e">
        <f t="shared" si="5"/>
        <v>#N/A</v>
      </c>
      <c r="R52" s="68" t="e">
        <f t="shared" si="6"/>
        <v>#N/A</v>
      </c>
      <c r="S52" s="68" t="e">
        <f t="shared" si="7"/>
        <v>#N/A</v>
      </c>
      <c r="T52" s="107">
        <f>VLOOKUP(C52,'خلاصه عملکرد'!D:E,1,0)</f>
        <v>14592</v>
      </c>
    </row>
    <row r="53" spans="1:20" s="69" customFormat="1" ht="21" x14ac:dyDescent="0.55000000000000004">
      <c r="A53" s="76">
        <v>709</v>
      </c>
      <c r="B53" s="102">
        <v>700</v>
      </c>
      <c r="C53" s="102">
        <v>14603</v>
      </c>
      <c r="D53" s="77" t="s">
        <v>372</v>
      </c>
      <c r="E53" s="78" t="e">
        <f>VLOOKUP($B53,'اداری 1'!C:AB,4,0)</f>
        <v>#N/A</v>
      </c>
      <c r="F53" s="78" t="e">
        <f>VLOOKUP($B53,'اداری 1'!$C:$AA,13,0)</f>
        <v>#N/A</v>
      </c>
      <c r="G53" s="78" t="e">
        <f>VLOOKUP($B53,'اداری 1'!$C:$AA,13,0)</f>
        <v>#N/A</v>
      </c>
      <c r="H53" s="78" t="e">
        <f>VLOOKUP($B53,'اداری 1'!$C:$AA,20,0)</f>
        <v>#N/A</v>
      </c>
      <c r="I53" s="66">
        <v>0</v>
      </c>
      <c r="J53" s="78" t="e">
        <f>IF(VLOOKUP($B53,'اداری 1'!$C:$AA,21,0)="",0,VLOOKUP($B53,'اداری 1'!$C:$AA,21,0))</f>
        <v>#N/A</v>
      </c>
      <c r="K53" s="78">
        <v>0</v>
      </c>
      <c r="L53" s="78">
        <v>0</v>
      </c>
      <c r="M53" s="78">
        <v>0</v>
      </c>
      <c r="N53" s="78" t="e">
        <f>IF(VLOOKUP($B53,'اداری 1'!$C:$AA,17,0)="",0,VLOOKUP($B53,'اداری 1'!$C:$AA,17,0))</f>
        <v>#N/A</v>
      </c>
      <c r="O53" s="67">
        <v>0</v>
      </c>
      <c r="P53" s="68" t="e">
        <f t="shared" si="4"/>
        <v>#N/A</v>
      </c>
      <c r="Q53" s="155" t="e">
        <f t="shared" si="5"/>
        <v>#N/A</v>
      </c>
      <c r="R53" s="68" t="e">
        <f t="shared" si="6"/>
        <v>#N/A</v>
      </c>
      <c r="S53" s="68" t="e">
        <f t="shared" si="7"/>
        <v>#N/A</v>
      </c>
      <c r="T53" s="107">
        <f>VLOOKUP(C53,'خلاصه عملکرد'!D:E,1,0)</f>
        <v>14603</v>
      </c>
    </row>
    <row r="54" spans="1:20" s="69" customFormat="1" ht="21" x14ac:dyDescent="0.55000000000000004">
      <c r="A54" s="76">
        <v>753</v>
      </c>
      <c r="B54" s="102">
        <v>709</v>
      </c>
      <c r="C54" s="102">
        <v>14140</v>
      </c>
      <c r="D54" s="77" t="s">
        <v>373</v>
      </c>
      <c r="E54" s="78" t="e">
        <f>VLOOKUP($B54,'اداری 1'!C:AB,4,0)</f>
        <v>#N/A</v>
      </c>
      <c r="F54" s="78" t="e">
        <f>VLOOKUP($B54,'اداری 1'!$C:$AA,13,0)</f>
        <v>#N/A</v>
      </c>
      <c r="G54" s="78" t="e">
        <f>VLOOKUP($B54,'اداری 1'!$C:$AA,13,0)</f>
        <v>#N/A</v>
      </c>
      <c r="H54" s="78" t="e">
        <f>VLOOKUP($B54,'اداری 1'!$C:$AA,20,0)</f>
        <v>#N/A</v>
      </c>
      <c r="I54" s="66">
        <v>0</v>
      </c>
      <c r="J54" s="78" t="e">
        <f>IF(VLOOKUP($B54,'اداری 1'!$C:$AA,21,0)="",0,VLOOKUP($B54,'اداری 1'!$C:$AA,21,0))</f>
        <v>#N/A</v>
      </c>
      <c r="K54" s="78">
        <v>0</v>
      </c>
      <c r="L54" s="78">
        <v>0</v>
      </c>
      <c r="M54" s="78">
        <v>0</v>
      </c>
      <c r="N54" s="78" t="e">
        <f>IF(VLOOKUP($B54,'اداری 1'!$C:$AA,17,0)="",0,VLOOKUP($B54,'اداری 1'!$C:$AA,17,0))</f>
        <v>#N/A</v>
      </c>
      <c r="O54" s="67">
        <v>0</v>
      </c>
      <c r="P54" s="68" t="e">
        <f t="shared" si="4"/>
        <v>#N/A</v>
      </c>
      <c r="Q54" s="155" t="e">
        <f t="shared" si="5"/>
        <v>#N/A</v>
      </c>
      <c r="R54" s="68" t="e">
        <f t="shared" si="6"/>
        <v>#N/A</v>
      </c>
      <c r="S54" s="68" t="e">
        <f t="shared" si="7"/>
        <v>#N/A</v>
      </c>
      <c r="T54" s="107">
        <f>VLOOKUP(C54,'خلاصه عملکرد'!D:E,1,0)</f>
        <v>14140</v>
      </c>
    </row>
    <row r="55" spans="1:20" s="69" customFormat="1" ht="21" x14ac:dyDescent="0.55000000000000004">
      <c r="A55" s="76">
        <v>768</v>
      </c>
      <c r="B55" s="102">
        <v>738</v>
      </c>
      <c r="C55" s="102">
        <v>14631</v>
      </c>
      <c r="D55" s="77" t="s">
        <v>431</v>
      </c>
      <c r="E55" s="78" t="e">
        <f>VLOOKUP($B55,'اداری 1'!C:AB,4,0)</f>
        <v>#N/A</v>
      </c>
      <c r="F55" s="78" t="e">
        <f>VLOOKUP($B55,'اداری 1'!$C:$AA,13,0)</f>
        <v>#N/A</v>
      </c>
      <c r="G55" s="78" t="e">
        <f>VLOOKUP($B55,'اداری 1'!$C:$AA,13,0)</f>
        <v>#N/A</v>
      </c>
      <c r="H55" s="78" t="e">
        <f>VLOOKUP($B55,'اداری 1'!$C:$AA,20,0)</f>
        <v>#N/A</v>
      </c>
      <c r="I55" s="66">
        <v>0</v>
      </c>
      <c r="J55" s="78" t="e">
        <f>IF(VLOOKUP($B55,'اداری 1'!$C:$AA,21,0)="",0,VLOOKUP($B55,'اداری 1'!$C:$AA,21,0))</f>
        <v>#N/A</v>
      </c>
      <c r="K55" s="78">
        <v>0</v>
      </c>
      <c r="L55" s="78">
        <v>0</v>
      </c>
      <c r="M55" s="78">
        <v>0</v>
      </c>
      <c r="N55" s="78" t="e">
        <f>IF(VLOOKUP($B55,'اداری 1'!$C:$AA,17,0)="",0,VLOOKUP($B55,'اداری 1'!$C:$AA,17,0))</f>
        <v>#N/A</v>
      </c>
      <c r="O55" s="67">
        <v>0</v>
      </c>
      <c r="P55" s="68" t="e">
        <f t="shared" si="4"/>
        <v>#N/A</v>
      </c>
      <c r="Q55" s="155" t="e">
        <f t="shared" si="5"/>
        <v>#N/A</v>
      </c>
      <c r="R55" s="68" t="e">
        <f t="shared" si="6"/>
        <v>#N/A</v>
      </c>
      <c r="S55" s="68" t="e">
        <f t="shared" si="7"/>
        <v>#N/A</v>
      </c>
      <c r="T55" s="107">
        <f>VLOOKUP(C55,'خلاصه عملکرد'!D:E,1,0)</f>
        <v>14631</v>
      </c>
    </row>
    <row r="56" spans="1:20" s="69" customFormat="1" ht="21" x14ac:dyDescent="0.55000000000000004">
      <c r="A56" s="76">
        <v>779</v>
      </c>
      <c r="B56" s="102">
        <v>753</v>
      </c>
      <c r="C56" s="102">
        <v>14636</v>
      </c>
      <c r="D56" s="77" t="s">
        <v>374</v>
      </c>
      <c r="E56" s="78" t="e">
        <f>VLOOKUP($B56,'اداری 1'!C:AB,4,0)</f>
        <v>#N/A</v>
      </c>
      <c r="F56" s="78" t="e">
        <f>VLOOKUP($B56,'اداری 1'!$C:$AA,13,0)</f>
        <v>#N/A</v>
      </c>
      <c r="G56" s="78" t="e">
        <f>VLOOKUP($B56,'اداری 1'!$C:$AA,13,0)</f>
        <v>#N/A</v>
      </c>
      <c r="H56" s="78" t="e">
        <f>VLOOKUP($B56,'اداری 1'!$C:$AA,20,0)</f>
        <v>#N/A</v>
      </c>
      <c r="I56" s="66">
        <v>0</v>
      </c>
      <c r="J56" s="78" t="e">
        <f>IF(VLOOKUP($B56,'اداری 1'!$C:$AA,21,0)="",0,VLOOKUP($B56,'اداری 1'!$C:$AA,21,0))</f>
        <v>#N/A</v>
      </c>
      <c r="K56" s="78">
        <v>0</v>
      </c>
      <c r="L56" s="78">
        <v>0</v>
      </c>
      <c r="M56" s="78">
        <v>0</v>
      </c>
      <c r="N56" s="78" t="e">
        <f>IF(VLOOKUP($B56,'اداری 1'!$C:$AA,17,0)="",0,VLOOKUP($B56,'اداری 1'!$C:$AA,17,0))</f>
        <v>#N/A</v>
      </c>
      <c r="O56" s="67">
        <v>0</v>
      </c>
      <c r="P56" s="68" t="e">
        <f t="shared" si="4"/>
        <v>#N/A</v>
      </c>
      <c r="Q56" s="155" t="e">
        <f t="shared" si="5"/>
        <v>#N/A</v>
      </c>
      <c r="R56" s="68" t="e">
        <f t="shared" si="6"/>
        <v>#N/A</v>
      </c>
      <c r="S56" s="68" t="e">
        <f t="shared" si="7"/>
        <v>#N/A</v>
      </c>
      <c r="T56" s="107">
        <f>VLOOKUP(C56,'خلاصه عملکرد'!D:E,1,0)</f>
        <v>14636</v>
      </c>
    </row>
    <row r="57" spans="1:20" s="69" customFormat="1" ht="21" x14ac:dyDescent="0.55000000000000004">
      <c r="A57" s="76">
        <v>784</v>
      </c>
      <c r="B57" s="102">
        <v>767</v>
      </c>
      <c r="C57" s="102">
        <v>14641</v>
      </c>
      <c r="D57" s="77" t="s">
        <v>339</v>
      </c>
      <c r="E57" s="78" t="e">
        <f>VLOOKUP($B57,'اداری 1'!C:AB,4,0)</f>
        <v>#N/A</v>
      </c>
      <c r="F57" s="78" t="e">
        <f>VLOOKUP($B57,'اداری 1'!$C:$AA,13,0)</f>
        <v>#N/A</v>
      </c>
      <c r="G57" s="78" t="e">
        <f>VLOOKUP($B57,'اداری 1'!$C:$AA,13,0)</f>
        <v>#N/A</v>
      </c>
      <c r="H57" s="78" t="e">
        <f>VLOOKUP($B57,'اداری 1'!$C:$AA,20,0)</f>
        <v>#N/A</v>
      </c>
      <c r="I57" s="66">
        <v>0</v>
      </c>
      <c r="J57" s="78" t="e">
        <f>IF(VLOOKUP($B57,'اداری 1'!$C:$AA,21,0)="",0,VLOOKUP($B57,'اداری 1'!$C:$AA,21,0))</f>
        <v>#N/A</v>
      </c>
      <c r="K57" s="78">
        <v>0</v>
      </c>
      <c r="L57" s="78">
        <v>0</v>
      </c>
      <c r="M57" s="78">
        <v>0</v>
      </c>
      <c r="N57" s="78" t="e">
        <f>IF(VLOOKUP($B57,'اداری 1'!$C:$AA,17,0)="",0,VLOOKUP($B57,'اداری 1'!$C:$AA,17,0))</f>
        <v>#N/A</v>
      </c>
      <c r="O57" s="67">
        <v>0</v>
      </c>
      <c r="P57" s="68" t="e">
        <f t="shared" si="4"/>
        <v>#N/A</v>
      </c>
      <c r="Q57" s="155" t="e">
        <f t="shared" si="5"/>
        <v>#N/A</v>
      </c>
      <c r="R57" s="68" t="e">
        <f t="shared" si="6"/>
        <v>#N/A</v>
      </c>
      <c r="S57" s="68" t="e">
        <f t="shared" si="7"/>
        <v>#N/A</v>
      </c>
      <c r="T57" s="107">
        <f>VLOOKUP(C57,'خلاصه عملکرد'!D:E,1,0)</f>
        <v>14641</v>
      </c>
    </row>
    <row r="58" spans="1:20" s="69" customFormat="1" ht="21" x14ac:dyDescent="0.55000000000000004">
      <c r="A58" s="76">
        <v>813</v>
      </c>
      <c r="B58" s="102">
        <v>768</v>
      </c>
      <c r="C58" s="102">
        <v>14642</v>
      </c>
      <c r="D58" s="77" t="s">
        <v>354</v>
      </c>
      <c r="E58" s="78" t="e">
        <f>VLOOKUP($B58,'اداری 1'!C:AB,4,0)</f>
        <v>#N/A</v>
      </c>
      <c r="F58" s="78" t="e">
        <f>VLOOKUP($B58,'اداری 1'!$C:$AA,13,0)</f>
        <v>#N/A</v>
      </c>
      <c r="G58" s="78" t="e">
        <f>VLOOKUP($B58,'اداری 1'!$C:$AA,13,0)</f>
        <v>#N/A</v>
      </c>
      <c r="H58" s="78" t="e">
        <f>VLOOKUP($B58,'اداری 1'!$C:$AA,20,0)</f>
        <v>#N/A</v>
      </c>
      <c r="I58" s="66">
        <v>0</v>
      </c>
      <c r="J58" s="78" t="e">
        <f>IF(VLOOKUP($B58,'اداری 1'!$C:$AA,21,0)="",0,VLOOKUP($B58,'اداری 1'!$C:$AA,21,0))</f>
        <v>#N/A</v>
      </c>
      <c r="K58" s="78">
        <v>0</v>
      </c>
      <c r="L58" s="78">
        <v>0</v>
      </c>
      <c r="M58" s="78">
        <v>0</v>
      </c>
      <c r="N58" s="78" t="e">
        <f>IF(VLOOKUP($B58,'اداری 1'!$C:$AA,17,0)="",0,VLOOKUP($B58,'اداری 1'!$C:$AA,17,0))</f>
        <v>#N/A</v>
      </c>
      <c r="O58" s="67">
        <v>0</v>
      </c>
      <c r="P58" s="68" t="e">
        <f t="shared" si="4"/>
        <v>#N/A</v>
      </c>
      <c r="Q58" s="155" t="e">
        <f t="shared" si="5"/>
        <v>#N/A</v>
      </c>
      <c r="R58" s="68" t="e">
        <f t="shared" si="6"/>
        <v>#N/A</v>
      </c>
      <c r="S58" s="68" t="e">
        <f t="shared" si="7"/>
        <v>#N/A</v>
      </c>
      <c r="T58" s="107">
        <f>VLOOKUP(C58,'خلاصه عملکرد'!D:E,1,0)</f>
        <v>14642</v>
      </c>
    </row>
    <row r="59" spans="1:20" s="69" customFormat="1" ht="21" x14ac:dyDescent="0.55000000000000004">
      <c r="A59" s="76">
        <v>855</v>
      </c>
      <c r="B59" s="102">
        <v>784</v>
      </c>
      <c r="C59" s="102">
        <v>14650</v>
      </c>
      <c r="D59" s="77" t="s">
        <v>375</v>
      </c>
      <c r="E59" s="78" t="e">
        <f>VLOOKUP($B59,'اداری 1'!C:AB,4,0)</f>
        <v>#N/A</v>
      </c>
      <c r="F59" s="78" t="e">
        <f>VLOOKUP($B59,'اداری 1'!$C:$AA,13,0)</f>
        <v>#N/A</v>
      </c>
      <c r="G59" s="78" t="e">
        <f>VLOOKUP($B59,'اداری 1'!$C:$AA,13,0)</f>
        <v>#N/A</v>
      </c>
      <c r="H59" s="78" t="e">
        <f>VLOOKUP($B59,'اداری 1'!$C:$AA,20,0)</f>
        <v>#N/A</v>
      </c>
      <c r="I59" s="66">
        <v>0</v>
      </c>
      <c r="J59" s="78" t="e">
        <f>IF(VLOOKUP($B59,'اداری 1'!$C:$AA,21,0)="",0,VLOOKUP($B59,'اداری 1'!$C:$AA,21,0))</f>
        <v>#N/A</v>
      </c>
      <c r="K59" s="78">
        <v>0</v>
      </c>
      <c r="L59" s="78">
        <v>0</v>
      </c>
      <c r="M59" s="78">
        <v>0</v>
      </c>
      <c r="N59" s="78" t="e">
        <f>IF(VLOOKUP($B59,'اداری 1'!$C:$AA,17,0)="",0,VLOOKUP($B59,'اداری 1'!$C:$AA,17,0))</f>
        <v>#N/A</v>
      </c>
      <c r="O59" s="67">
        <v>0</v>
      </c>
      <c r="P59" s="68" t="e">
        <f t="shared" si="4"/>
        <v>#N/A</v>
      </c>
      <c r="Q59" s="155" t="e">
        <f t="shared" si="5"/>
        <v>#N/A</v>
      </c>
      <c r="R59" s="68" t="e">
        <f t="shared" si="6"/>
        <v>#N/A</v>
      </c>
      <c r="S59" s="68" t="e">
        <f t="shared" si="7"/>
        <v>#N/A</v>
      </c>
      <c r="T59" s="107">
        <f>VLOOKUP(C59,'خلاصه عملکرد'!D:E,1,0)</f>
        <v>14650</v>
      </c>
    </row>
    <row r="60" spans="1:20" s="69" customFormat="1" ht="21" x14ac:dyDescent="0.55000000000000004">
      <c r="A60" s="76">
        <v>865</v>
      </c>
      <c r="B60" s="102">
        <v>855</v>
      </c>
      <c r="C60" s="102">
        <v>14681</v>
      </c>
      <c r="D60" s="77" t="s">
        <v>376</v>
      </c>
      <c r="E60" s="78" t="e">
        <f>VLOOKUP($B60,'اداری 1'!C:AB,4,0)</f>
        <v>#N/A</v>
      </c>
      <c r="F60" s="78" t="e">
        <f>VLOOKUP($B60,'اداری 1'!$C:$AA,13,0)</f>
        <v>#N/A</v>
      </c>
      <c r="G60" s="78" t="e">
        <f>VLOOKUP($B60,'اداری 1'!$C:$AA,13,0)</f>
        <v>#N/A</v>
      </c>
      <c r="H60" s="78" t="e">
        <f>VLOOKUP($B60,'اداری 1'!$C:$AA,20,0)</f>
        <v>#N/A</v>
      </c>
      <c r="I60" s="66">
        <v>0</v>
      </c>
      <c r="J60" s="78" t="e">
        <f>IF(VLOOKUP($B60,'اداری 1'!$C:$AA,21,0)="",0,VLOOKUP($B60,'اداری 1'!$C:$AA,21,0))</f>
        <v>#N/A</v>
      </c>
      <c r="K60" s="78">
        <v>0</v>
      </c>
      <c r="L60" s="78">
        <v>0</v>
      </c>
      <c r="M60" s="78">
        <v>0</v>
      </c>
      <c r="N60" s="78" t="e">
        <f>IF(VLOOKUP($B60,'اداری 1'!$C:$AA,17,0)="",0,VLOOKUP($B60,'اداری 1'!$C:$AA,17,0))</f>
        <v>#N/A</v>
      </c>
      <c r="O60" s="67">
        <v>0</v>
      </c>
      <c r="P60" s="68" t="e">
        <f t="shared" si="4"/>
        <v>#N/A</v>
      </c>
      <c r="Q60" s="155" t="e">
        <f t="shared" si="5"/>
        <v>#N/A</v>
      </c>
      <c r="R60" s="68" t="e">
        <f t="shared" si="6"/>
        <v>#N/A</v>
      </c>
      <c r="S60" s="68" t="e">
        <f t="shared" si="7"/>
        <v>#N/A</v>
      </c>
      <c r="T60" s="107">
        <f>VLOOKUP(C60,'خلاصه عملکرد'!D:E,1,0)</f>
        <v>14681</v>
      </c>
    </row>
    <row r="61" spans="1:20" s="69" customFormat="1" ht="21" x14ac:dyDescent="0.55000000000000004">
      <c r="A61" s="76">
        <v>884</v>
      </c>
      <c r="B61" s="102">
        <v>865</v>
      </c>
      <c r="C61" s="102">
        <v>14682</v>
      </c>
      <c r="D61" s="77" t="s">
        <v>377</v>
      </c>
      <c r="E61" s="78" t="e">
        <f>VLOOKUP($B61,'اداری 1'!C:AB,4,0)</f>
        <v>#N/A</v>
      </c>
      <c r="F61" s="78" t="e">
        <f>VLOOKUP($B61,'اداری 1'!$C:$AA,13,0)</f>
        <v>#N/A</v>
      </c>
      <c r="G61" s="78" t="e">
        <f>VLOOKUP($B61,'اداری 1'!$C:$AA,13,0)</f>
        <v>#N/A</v>
      </c>
      <c r="H61" s="78" t="e">
        <f>VLOOKUP($B61,'اداری 1'!$C:$AA,20,0)</f>
        <v>#N/A</v>
      </c>
      <c r="I61" s="66">
        <v>0</v>
      </c>
      <c r="J61" s="78" t="e">
        <f>IF(VLOOKUP($B61,'اداری 1'!$C:$AA,21,0)="",0,VLOOKUP($B61,'اداری 1'!$C:$AA,21,0))</f>
        <v>#N/A</v>
      </c>
      <c r="K61" s="78">
        <v>0</v>
      </c>
      <c r="L61" s="78">
        <v>0</v>
      </c>
      <c r="M61" s="78">
        <v>0</v>
      </c>
      <c r="N61" s="78" t="e">
        <f>IF(VLOOKUP($B61,'اداری 1'!$C:$AA,17,0)="",0,VLOOKUP($B61,'اداری 1'!$C:$AA,17,0))</f>
        <v>#N/A</v>
      </c>
      <c r="O61" s="67">
        <v>0</v>
      </c>
      <c r="P61" s="68" t="e">
        <f t="shared" si="4"/>
        <v>#N/A</v>
      </c>
      <c r="Q61" s="155" t="e">
        <f t="shared" si="5"/>
        <v>#N/A</v>
      </c>
      <c r="R61" s="68" t="e">
        <f t="shared" si="6"/>
        <v>#N/A</v>
      </c>
      <c r="S61" s="68" t="e">
        <f t="shared" si="7"/>
        <v>#N/A</v>
      </c>
      <c r="T61" s="107">
        <f>VLOOKUP(C61,'خلاصه عملکرد'!D:E,1,0)</f>
        <v>14682</v>
      </c>
    </row>
    <row r="62" spans="1:20" s="69" customFormat="1" ht="21" x14ac:dyDescent="0.55000000000000004">
      <c r="A62" s="76">
        <v>907</v>
      </c>
      <c r="B62" s="102">
        <v>887</v>
      </c>
      <c r="C62" s="102">
        <v>14703</v>
      </c>
      <c r="D62" s="77" t="s">
        <v>378</v>
      </c>
      <c r="E62" s="78" t="e">
        <f>VLOOKUP($B62,'اداری 1'!C:AB,4,0)</f>
        <v>#N/A</v>
      </c>
      <c r="F62" s="78" t="e">
        <f>VLOOKUP($B62,'اداری 1'!$C:$AA,13,0)</f>
        <v>#N/A</v>
      </c>
      <c r="G62" s="78" t="e">
        <f>VLOOKUP($B62,'اداری 1'!$C:$AA,13,0)</f>
        <v>#N/A</v>
      </c>
      <c r="H62" s="78" t="e">
        <f>VLOOKUP($B62,'اداری 1'!$C:$AA,20,0)</f>
        <v>#N/A</v>
      </c>
      <c r="I62" s="66">
        <v>0</v>
      </c>
      <c r="J62" s="78" t="e">
        <f>IF(VLOOKUP($B62,'اداری 1'!$C:$AA,21,0)="",0,VLOOKUP($B62,'اداری 1'!$C:$AA,21,0))</f>
        <v>#N/A</v>
      </c>
      <c r="K62" s="78">
        <v>0</v>
      </c>
      <c r="L62" s="78">
        <v>0</v>
      </c>
      <c r="M62" s="78">
        <v>0</v>
      </c>
      <c r="N62" s="78" t="e">
        <f>IF(VLOOKUP($B62,'اداری 1'!$C:$AA,17,0)="",0,VLOOKUP($B62,'اداری 1'!$C:$AA,17,0))</f>
        <v>#N/A</v>
      </c>
      <c r="O62" s="67">
        <v>0</v>
      </c>
      <c r="P62" s="68" t="e">
        <f t="shared" si="4"/>
        <v>#N/A</v>
      </c>
      <c r="Q62" s="155" t="e">
        <f t="shared" si="5"/>
        <v>#N/A</v>
      </c>
      <c r="R62" s="68" t="e">
        <f t="shared" si="6"/>
        <v>#N/A</v>
      </c>
      <c r="S62" s="68" t="e">
        <f t="shared" si="7"/>
        <v>#N/A</v>
      </c>
      <c r="T62" s="107">
        <f>VLOOKUP(C62,'خلاصه عملکرد'!D:E,1,0)</f>
        <v>14703</v>
      </c>
    </row>
    <row r="63" spans="1:20" s="69" customFormat="1" ht="21" x14ac:dyDescent="0.55000000000000004">
      <c r="A63" s="76">
        <v>920</v>
      </c>
      <c r="B63" s="102">
        <v>907</v>
      </c>
      <c r="C63" s="102">
        <v>14712</v>
      </c>
      <c r="D63" s="77" t="s">
        <v>350</v>
      </c>
      <c r="E63" s="78" t="e">
        <f>VLOOKUP($B63,'اداری 1'!C:AB,4,0)</f>
        <v>#N/A</v>
      </c>
      <c r="F63" s="78" t="e">
        <f>VLOOKUP($B63,'اداری 1'!$C:$AA,13,0)</f>
        <v>#N/A</v>
      </c>
      <c r="G63" s="78" t="e">
        <f>VLOOKUP($B63,'اداری 1'!$C:$AA,13,0)</f>
        <v>#N/A</v>
      </c>
      <c r="H63" s="78" t="e">
        <f>VLOOKUP($B63,'اداری 1'!$C:$AA,20,0)</f>
        <v>#N/A</v>
      </c>
      <c r="I63" s="66">
        <v>0</v>
      </c>
      <c r="J63" s="78" t="e">
        <f>IF(VLOOKUP($B63,'اداری 1'!$C:$AA,21,0)="",0,VLOOKUP($B63,'اداری 1'!$C:$AA,21,0))</f>
        <v>#N/A</v>
      </c>
      <c r="K63" s="78">
        <v>0</v>
      </c>
      <c r="L63" s="78">
        <v>0</v>
      </c>
      <c r="M63" s="78">
        <v>0</v>
      </c>
      <c r="N63" s="78" t="e">
        <f>IF(VLOOKUP($B63,'اداری 1'!$C:$AA,17,0)="",0,VLOOKUP($B63,'اداری 1'!$C:$AA,17,0))</f>
        <v>#N/A</v>
      </c>
      <c r="O63" s="67">
        <v>0</v>
      </c>
      <c r="P63" s="68" t="e">
        <f t="shared" si="4"/>
        <v>#N/A</v>
      </c>
      <c r="Q63" s="155" t="e">
        <f t="shared" si="5"/>
        <v>#N/A</v>
      </c>
      <c r="R63" s="68" t="e">
        <f t="shared" si="6"/>
        <v>#N/A</v>
      </c>
      <c r="S63" s="68" t="e">
        <f t="shared" si="7"/>
        <v>#N/A</v>
      </c>
      <c r="T63" s="107">
        <f>VLOOKUP(C63,'خلاصه عملکرد'!D:E,1,0)</f>
        <v>14712</v>
      </c>
    </row>
    <row r="64" spans="1:20" s="69" customFormat="1" ht="21" x14ac:dyDescent="0.55000000000000004">
      <c r="A64" s="76">
        <v>952</v>
      </c>
      <c r="B64" s="102">
        <v>920</v>
      </c>
      <c r="C64" s="102">
        <v>14718</v>
      </c>
      <c r="D64" s="77" t="s">
        <v>379</v>
      </c>
      <c r="E64" s="78" t="e">
        <f>VLOOKUP($B64,'اداری 1'!C:AB,4,0)</f>
        <v>#N/A</v>
      </c>
      <c r="F64" s="78" t="e">
        <f>VLOOKUP($B64,'اداری 1'!$C:$AA,13,0)</f>
        <v>#N/A</v>
      </c>
      <c r="G64" s="78" t="e">
        <f>VLOOKUP($B64,'اداری 1'!$C:$AA,13,0)</f>
        <v>#N/A</v>
      </c>
      <c r="H64" s="78" t="e">
        <f>VLOOKUP($B64,'اداری 1'!$C:$AA,20,0)</f>
        <v>#N/A</v>
      </c>
      <c r="I64" s="66">
        <v>0</v>
      </c>
      <c r="J64" s="78" t="e">
        <f>IF(VLOOKUP($B64,'اداری 1'!$C:$AA,21,0)="",0,VLOOKUP($B64,'اداری 1'!$C:$AA,21,0))</f>
        <v>#N/A</v>
      </c>
      <c r="K64" s="78">
        <v>0</v>
      </c>
      <c r="L64" s="78">
        <v>0</v>
      </c>
      <c r="M64" s="78">
        <v>0</v>
      </c>
      <c r="N64" s="78" t="e">
        <f>IF(VLOOKUP($B64,'اداری 1'!$C:$AA,17,0)="",0,VLOOKUP($B64,'اداری 1'!$C:$AA,17,0))</f>
        <v>#N/A</v>
      </c>
      <c r="O64" s="67">
        <v>0</v>
      </c>
      <c r="P64" s="68" t="e">
        <f t="shared" si="4"/>
        <v>#N/A</v>
      </c>
      <c r="Q64" s="155" t="e">
        <f t="shared" si="5"/>
        <v>#N/A</v>
      </c>
      <c r="R64" s="68" t="e">
        <f t="shared" si="6"/>
        <v>#N/A</v>
      </c>
      <c r="S64" s="68" t="e">
        <f t="shared" si="7"/>
        <v>#N/A</v>
      </c>
      <c r="T64" s="107">
        <f>VLOOKUP(C64,'خلاصه عملکرد'!D:E,1,0)</f>
        <v>14718</v>
      </c>
    </row>
    <row r="65" spans="1:20" s="69" customFormat="1" ht="21" x14ac:dyDescent="0.55000000000000004">
      <c r="A65" s="76">
        <v>960</v>
      </c>
      <c r="B65" s="102">
        <v>952</v>
      </c>
      <c r="C65" s="102">
        <v>14734</v>
      </c>
      <c r="D65" s="77" t="s">
        <v>355</v>
      </c>
      <c r="E65" s="78" t="e">
        <f>VLOOKUP($B65,'اداری 1'!C:AB,4,0)</f>
        <v>#N/A</v>
      </c>
      <c r="F65" s="78" t="e">
        <f>VLOOKUP($B65,'اداری 1'!$C:$AA,13,0)</f>
        <v>#N/A</v>
      </c>
      <c r="G65" s="78" t="e">
        <f>VLOOKUP($B65,'اداری 1'!$C:$AA,13,0)</f>
        <v>#N/A</v>
      </c>
      <c r="H65" s="78" t="e">
        <f>VLOOKUP($B65,'اداری 1'!$C:$AA,20,0)</f>
        <v>#N/A</v>
      </c>
      <c r="I65" s="66">
        <v>0</v>
      </c>
      <c r="J65" s="78" t="e">
        <f>IF(VLOOKUP($B65,'اداری 1'!$C:$AA,21,0)="",0,VLOOKUP($B65,'اداری 1'!$C:$AA,21,0))</f>
        <v>#N/A</v>
      </c>
      <c r="K65" s="78">
        <v>0</v>
      </c>
      <c r="L65" s="78">
        <v>0</v>
      </c>
      <c r="M65" s="78">
        <v>0</v>
      </c>
      <c r="N65" s="78" t="e">
        <f>IF(VLOOKUP($B65,'اداری 1'!$C:$AA,17,0)="",0,VLOOKUP($B65,'اداری 1'!$C:$AA,17,0))</f>
        <v>#N/A</v>
      </c>
      <c r="O65" s="67">
        <v>0</v>
      </c>
      <c r="P65" s="68" t="e">
        <f t="shared" si="4"/>
        <v>#N/A</v>
      </c>
      <c r="Q65" s="155" t="e">
        <f t="shared" si="5"/>
        <v>#N/A</v>
      </c>
      <c r="R65" s="68" t="e">
        <f t="shared" si="6"/>
        <v>#N/A</v>
      </c>
      <c r="S65" s="68" t="e">
        <f t="shared" si="7"/>
        <v>#N/A</v>
      </c>
      <c r="T65" s="107">
        <f>VLOOKUP(C65,'خلاصه عملکرد'!D:E,1,0)</f>
        <v>14734</v>
      </c>
    </row>
    <row r="66" spans="1:20" s="69" customFormat="1" ht="21" x14ac:dyDescent="0.55000000000000004">
      <c r="A66" s="76">
        <v>981</v>
      </c>
      <c r="B66" s="102">
        <v>960</v>
      </c>
      <c r="C66" s="102">
        <v>14739</v>
      </c>
      <c r="D66" s="77" t="s">
        <v>361</v>
      </c>
      <c r="E66" s="78" t="e">
        <f>VLOOKUP($B66,'اداری 1'!C:AB,4,0)</f>
        <v>#N/A</v>
      </c>
      <c r="F66" s="78" t="e">
        <f>VLOOKUP($B66,'اداری 1'!$C:$AA,13,0)</f>
        <v>#N/A</v>
      </c>
      <c r="G66" s="78" t="e">
        <f>VLOOKUP($B66,'اداری 1'!$C:$AA,13,0)</f>
        <v>#N/A</v>
      </c>
      <c r="H66" s="78" t="e">
        <f>VLOOKUP($B66,'اداری 1'!$C:$AA,20,0)</f>
        <v>#N/A</v>
      </c>
      <c r="I66" s="66">
        <v>0</v>
      </c>
      <c r="J66" s="78" t="e">
        <f>IF(VLOOKUP($B66,'اداری 1'!$C:$AA,21,0)="",0,VLOOKUP($B66,'اداری 1'!$C:$AA,21,0))</f>
        <v>#N/A</v>
      </c>
      <c r="K66" s="78">
        <v>0</v>
      </c>
      <c r="L66" s="78">
        <v>0</v>
      </c>
      <c r="M66" s="78">
        <v>0</v>
      </c>
      <c r="N66" s="78" t="e">
        <f>IF(VLOOKUP($B66,'اداری 1'!$C:$AA,17,0)="",0,VLOOKUP($B66,'اداری 1'!$C:$AA,17,0))</f>
        <v>#N/A</v>
      </c>
      <c r="O66" s="67">
        <v>0</v>
      </c>
      <c r="P66" s="68" t="e">
        <f t="shared" si="4"/>
        <v>#N/A</v>
      </c>
      <c r="Q66" s="155" t="e">
        <f t="shared" si="5"/>
        <v>#N/A</v>
      </c>
      <c r="R66" s="68" t="e">
        <f t="shared" si="6"/>
        <v>#N/A</v>
      </c>
      <c r="S66" s="68" t="e">
        <f t="shared" si="7"/>
        <v>#N/A</v>
      </c>
      <c r="T66" s="107">
        <f>VLOOKUP(C66,'خلاصه عملکرد'!D:E,1,0)</f>
        <v>14739</v>
      </c>
    </row>
    <row r="67" spans="1:20" s="69" customFormat="1" ht="21" x14ac:dyDescent="0.55000000000000004">
      <c r="A67" s="76">
        <v>1040</v>
      </c>
      <c r="B67" s="102">
        <v>981</v>
      </c>
      <c r="C67" s="102">
        <v>14775</v>
      </c>
      <c r="D67" s="77" t="s">
        <v>403</v>
      </c>
      <c r="E67" s="78" t="e">
        <f>VLOOKUP($B67,'اداری 1'!C:AB,4,0)</f>
        <v>#N/A</v>
      </c>
      <c r="F67" s="78" t="e">
        <f>VLOOKUP($B67,'اداری 1'!$C:$AA,13,0)</f>
        <v>#N/A</v>
      </c>
      <c r="G67" s="78" t="e">
        <f>VLOOKUP($B67,'اداری 1'!$C:$AA,13,0)</f>
        <v>#N/A</v>
      </c>
      <c r="H67" s="78" t="e">
        <f>VLOOKUP($B67,'اداری 1'!$C:$AA,20,0)</f>
        <v>#N/A</v>
      </c>
      <c r="I67" s="66">
        <v>0</v>
      </c>
      <c r="J67" s="78" t="e">
        <f>IF(VLOOKUP($B67,'اداری 1'!$C:$AA,21,0)="",0,VLOOKUP($B67,'اداری 1'!$C:$AA,21,0))</f>
        <v>#N/A</v>
      </c>
      <c r="K67" s="78">
        <v>0</v>
      </c>
      <c r="L67" s="78">
        <v>0</v>
      </c>
      <c r="M67" s="78">
        <v>0</v>
      </c>
      <c r="N67" s="78" t="e">
        <f>IF(VLOOKUP($B67,'اداری 1'!$C:$AA,17,0)="",0,VLOOKUP($B67,'اداری 1'!$C:$AA,17,0))</f>
        <v>#N/A</v>
      </c>
      <c r="O67" s="67">
        <v>0</v>
      </c>
      <c r="P67" s="68" t="e">
        <f t="shared" si="4"/>
        <v>#N/A</v>
      </c>
      <c r="Q67" s="155" t="e">
        <f t="shared" si="5"/>
        <v>#N/A</v>
      </c>
      <c r="R67" s="68" t="e">
        <f t="shared" si="6"/>
        <v>#N/A</v>
      </c>
      <c r="S67" s="68" t="e">
        <f t="shared" si="7"/>
        <v>#N/A</v>
      </c>
      <c r="T67" s="107">
        <f>VLOOKUP(C67,'خلاصه عملکرد'!D:E,1,0)</f>
        <v>14775</v>
      </c>
    </row>
    <row r="68" spans="1:20" s="69" customFormat="1" ht="21" x14ac:dyDescent="0.55000000000000004">
      <c r="A68" s="76">
        <v>1054</v>
      </c>
      <c r="B68" s="102">
        <v>1013</v>
      </c>
      <c r="C68" s="102">
        <v>14760</v>
      </c>
      <c r="D68" s="77" t="s">
        <v>364</v>
      </c>
      <c r="E68" s="78" t="e">
        <f>VLOOKUP($B68,'اداری 1'!C:AB,4,0)</f>
        <v>#N/A</v>
      </c>
      <c r="F68" s="78" t="e">
        <f>VLOOKUP($B68,'اداری 1'!$C:$AA,13,0)</f>
        <v>#N/A</v>
      </c>
      <c r="G68" s="78" t="e">
        <f>VLOOKUP($B68,'اداری 1'!$C:$AA,13,0)</f>
        <v>#N/A</v>
      </c>
      <c r="H68" s="78" t="e">
        <f>VLOOKUP($B68,'اداری 1'!$C:$AA,20,0)</f>
        <v>#N/A</v>
      </c>
      <c r="I68" s="66">
        <v>0</v>
      </c>
      <c r="J68" s="78" t="e">
        <f>IF(VLOOKUP($B68,'اداری 1'!$C:$AA,21,0)="",0,VLOOKUP($B68,'اداری 1'!$C:$AA,21,0))</f>
        <v>#N/A</v>
      </c>
      <c r="K68" s="78">
        <v>0</v>
      </c>
      <c r="L68" s="78">
        <v>0</v>
      </c>
      <c r="M68" s="78">
        <v>0</v>
      </c>
      <c r="N68" s="78" t="e">
        <f>IF(VLOOKUP($B68,'اداری 1'!$C:$AA,17,0)="",0,VLOOKUP($B68,'اداری 1'!$C:$AA,17,0))</f>
        <v>#N/A</v>
      </c>
      <c r="O68" s="67">
        <v>0</v>
      </c>
      <c r="P68" s="68" t="e">
        <f t="shared" ref="P68:P99" si="8">DAY(F68)*24+HOUR(F68)</f>
        <v>#N/A</v>
      </c>
      <c r="Q68" s="155" t="e">
        <f t="shared" ref="Q68:Q99" si="9">MINUTE(F68)</f>
        <v>#N/A</v>
      </c>
      <c r="R68" s="68" t="e">
        <f t="shared" ref="R68:R99" si="10">DAY(H68)*24+HOUR(H68)</f>
        <v>#N/A</v>
      </c>
      <c r="S68" s="68" t="e">
        <f t="shared" ref="S68:S99" si="11">MINUTE(H68)</f>
        <v>#N/A</v>
      </c>
      <c r="T68" s="107">
        <f>VLOOKUP(C68,'خلاصه عملکرد'!D:E,1,0)</f>
        <v>14760</v>
      </c>
    </row>
    <row r="69" spans="1:20" s="69" customFormat="1" ht="21" x14ac:dyDescent="0.55000000000000004">
      <c r="A69" s="76">
        <v>1055</v>
      </c>
      <c r="B69" s="102">
        <v>1015</v>
      </c>
      <c r="C69" s="102">
        <v>1015</v>
      </c>
      <c r="D69" s="77" t="s">
        <v>380</v>
      </c>
      <c r="E69" s="78" t="e">
        <f>VLOOKUP($B69,'اداری 1'!C:AB,4,0)</f>
        <v>#N/A</v>
      </c>
      <c r="F69" s="78" t="e">
        <f>VLOOKUP($B69,'اداری 1'!$C:$AA,13,0)</f>
        <v>#N/A</v>
      </c>
      <c r="G69" s="78" t="e">
        <f>VLOOKUP($B69,'اداری 1'!$C:$AA,13,0)</f>
        <v>#N/A</v>
      </c>
      <c r="H69" s="78" t="e">
        <f>VLOOKUP($B69,'اداری 1'!$C:$AA,20,0)</f>
        <v>#N/A</v>
      </c>
      <c r="I69" s="66">
        <v>0</v>
      </c>
      <c r="J69" s="78" t="e">
        <f>IF(VLOOKUP($B69,'اداری 1'!$C:$AA,21,0)="",0,VLOOKUP($B69,'اداری 1'!$C:$AA,21,0))</f>
        <v>#N/A</v>
      </c>
      <c r="K69" s="78">
        <v>0</v>
      </c>
      <c r="L69" s="78">
        <v>0</v>
      </c>
      <c r="M69" s="78">
        <v>0</v>
      </c>
      <c r="N69" s="78" t="e">
        <f>IF(VLOOKUP($B69,'اداری 1'!$C:$AA,17,0)="",0,VLOOKUP($B69,'اداری 1'!$C:$AA,17,0))</f>
        <v>#N/A</v>
      </c>
      <c r="O69" s="67">
        <v>0</v>
      </c>
      <c r="P69" s="68" t="e">
        <f t="shared" si="8"/>
        <v>#N/A</v>
      </c>
      <c r="Q69" s="155" t="e">
        <f t="shared" si="9"/>
        <v>#N/A</v>
      </c>
      <c r="R69" s="68" t="e">
        <f t="shared" si="10"/>
        <v>#N/A</v>
      </c>
      <c r="S69" s="68" t="e">
        <f t="shared" si="11"/>
        <v>#N/A</v>
      </c>
      <c r="T69" s="107">
        <f>VLOOKUP(C69,'خلاصه عملکرد'!D:E,1,0)</f>
        <v>1015</v>
      </c>
    </row>
    <row r="70" spans="1:20" s="69" customFormat="1" ht="21" x14ac:dyDescent="0.55000000000000004">
      <c r="A70" s="76">
        <v>1015</v>
      </c>
      <c r="B70" s="102">
        <v>1054</v>
      </c>
      <c r="C70" s="102">
        <v>14856</v>
      </c>
      <c r="D70" s="77" t="s">
        <v>404</v>
      </c>
      <c r="E70" s="78" t="e">
        <f>VLOOKUP($B70,'اداری 1'!C:AB,4,0)</f>
        <v>#N/A</v>
      </c>
      <c r="F70" s="78" t="e">
        <f>VLOOKUP($B70,'اداری 1'!$C:$AA,13,0)</f>
        <v>#N/A</v>
      </c>
      <c r="G70" s="78" t="e">
        <f>VLOOKUP($B70,'اداری 1'!$C:$AA,13,0)</f>
        <v>#N/A</v>
      </c>
      <c r="H70" s="78" t="e">
        <f>VLOOKUP($B70,'اداری 1'!$C:$AA,20,0)</f>
        <v>#N/A</v>
      </c>
      <c r="I70" s="66">
        <v>0</v>
      </c>
      <c r="J70" s="78" t="e">
        <f>IF(VLOOKUP($B70,'اداری 1'!$C:$AA,21,0)="",0,VLOOKUP($B70,'اداری 1'!$C:$AA,21,0))</f>
        <v>#N/A</v>
      </c>
      <c r="K70" s="78">
        <v>0</v>
      </c>
      <c r="L70" s="78">
        <v>0</v>
      </c>
      <c r="M70" s="78">
        <v>0</v>
      </c>
      <c r="N70" s="78" t="e">
        <f>IF(VLOOKUP($B70,'اداری 1'!$C:$AA,17,0)="",0,VLOOKUP($B70,'اداری 1'!$C:$AA,17,0))</f>
        <v>#N/A</v>
      </c>
      <c r="O70" s="67">
        <v>0</v>
      </c>
      <c r="P70" s="68" t="e">
        <f t="shared" si="8"/>
        <v>#N/A</v>
      </c>
      <c r="Q70" s="155" t="e">
        <f t="shared" si="9"/>
        <v>#N/A</v>
      </c>
      <c r="R70" s="68" t="e">
        <f t="shared" si="10"/>
        <v>#N/A</v>
      </c>
      <c r="S70" s="68" t="e">
        <f t="shared" si="11"/>
        <v>#N/A</v>
      </c>
      <c r="T70" s="107">
        <f>VLOOKUP(C70,'خلاصه عملکرد'!D:E,1,0)</f>
        <v>14856</v>
      </c>
    </row>
    <row r="71" spans="1:20" s="69" customFormat="1" ht="21" x14ac:dyDescent="0.55000000000000004">
      <c r="A71" s="76">
        <v>302</v>
      </c>
      <c r="B71" s="102">
        <v>1060</v>
      </c>
      <c r="C71" s="102">
        <v>14859</v>
      </c>
      <c r="D71" s="77" t="s">
        <v>406</v>
      </c>
      <c r="E71" s="78" t="e">
        <f>VLOOKUP($B71,'اداری 1'!C:AB,4,0)</f>
        <v>#N/A</v>
      </c>
      <c r="F71" s="78" t="e">
        <f>VLOOKUP($B71,'اداری 1'!$C:$AA,13,0)</f>
        <v>#N/A</v>
      </c>
      <c r="G71" s="78" t="e">
        <f>VLOOKUP($B71,'اداری 1'!$C:$AA,13,0)</f>
        <v>#N/A</v>
      </c>
      <c r="H71" s="78" t="e">
        <f>VLOOKUP($B71,'اداری 1'!$C:$AA,20,0)</f>
        <v>#N/A</v>
      </c>
      <c r="I71" s="66">
        <v>0</v>
      </c>
      <c r="J71" s="78" t="e">
        <f>IF(VLOOKUP($B71,'اداری 1'!$C:$AA,21,0)="",0,VLOOKUP($B71,'اداری 1'!$C:$AA,21,0))</f>
        <v>#N/A</v>
      </c>
      <c r="K71" s="78">
        <v>0</v>
      </c>
      <c r="L71" s="78">
        <v>0</v>
      </c>
      <c r="M71" s="78">
        <v>0</v>
      </c>
      <c r="N71" s="78" t="e">
        <f>IF(VLOOKUP($B71,'اداری 1'!$C:$AA,17,0)="",0,VLOOKUP($B71,'اداری 1'!$C:$AA,17,0))</f>
        <v>#N/A</v>
      </c>
      <c r="O71" s="67">
        <v>0</v>
      </c>
      <c r="P71" s="68" t="e">
        <f t="shared" si="8"/>
        <v>#N/A</v>
      </c>
      <c r="Q71" s="155" t="e">
        <f t="shared" si="9"/>
        <v>#N/A</v>
      </c>
      <c r="R71" s="68" t="e">
        <f t="shared" si="10"/>
        <v>#N/A</v>
      </c>
      <c r="S71" s="68" t="e">
        <f t="shared" si="11"/>
        <v>#N/A</v>
      </c>
      <c r="T71" s="107">
        <f>VLOOKUP(C71,'خلاصه عملکرد'!D:E,1,0)</f>
        <v>14859</v>
      </c>
    </row>
    <row r="72" spans="1:20" s="69" customFormat="1" ht="21" x14ac:dyDescent="0.55000000000000004">
      <c r="A72" s="76">
        <v>333</v>
      </c>
      <c r="B72" s="102">
        <v>1063</v>
      </c>
      <c r="C72" s="102">
        <v>14799</v>
      </c>
      <c r="D72" s="77" t="s">
        <v>407</v>
      </c>
      <c r="E72" s="78" t="e">
        <f>VLOOKUP($B72,'اداری 1'!C:AB,4,0)</f>
        <v>#N/A</v>
      </c>
      <c r="F72" s="78" t="e">
        <f>VLOOKUP($B72,'اداری 1'!$C:$AA,13,0)</f>
        <v>#N/A</v>
      </c>
      <c r="G72" s="78" t="e">
        <f>VLOOKUP($B72,'اداری 1'!$C:$AA,13,0)</f>
        <v>#N/A</v>
      </c>
      <c r="H72" s="78" t="e">
        <f>VLOOKUP($B72,'اداری 1'!$C:$AA,20,0)</f>
        <v>#N/A</v>
      </c>
      <c r="I72" s="66">
        <v>0</v>
      </c>
      <c r="J72" s="78" t="e">
        <f>IF(VLOOKUP($B72,'اداری 1'!$C:$AA,21,0)="",0,VLOOKUP($B72,'اداری 1'!$C:$AA,21,0))</f>
        <v>#N/A</v>
      </c>
      <c r="K72" s="78">
        <v>0</v>
      </c>
      <c r="L72" s="78">
        <v>0</v>
      </c>
      <c r="M72" s="78">
        <v>0</v>
      </c>
      <c r="N72" s="78" t="e">
        <f>IF(VLOOKUP($B72,'اداری 1'!$C:$AA,17,0)="",0,VLOOKUP($B72,'اداری 1'!$C:$AA,17,0))</f>
        <v>#N/A</v>
      </c>
      <c r="O72" s="67">
        <v>0</v>
      </c>
      <c r="P72" s="68" t="e">
        <f t="shared" si="8"/>
        <v>#N/A</v>
      </c>
      <c r="Q72" s="155" t="e">
        <f t="shared" si="9"/>
        <v>#N/A</v>
      </c>
      <c r="R72" s="68" t="e">
        <f t="shared" si="10"/>
        <v>#N/A</v>
      </c>
      <c r="S72" s="68" t="e">
        <f t="shared" si="11"/>
        <v>#N/A</v>
      </c>
      <c r="T72" s="107">
        <f>VLOOKUP(C72,'خلاصه عملکرد'!D:E,1,0)</f>
        <v>14799</v>
      </c>
    </row>
    <row r="73" spans="1:20" s="69" customFormat="1" ht="21" x14ac:dyDescent="0.55000000000000004">
      <c r="A73" s="76">
        <v>589</v>
      </c>
      <c r="B73" s="102">
        <v>1066</v>
      </c>
      <c r="C73" s="102">
        <v>14865</v>
      </c>
      <c r="D73" s="77" t="s">
        <v>408</v>
      </c>
      <c r="E73" s="78" t="e">
        <f>VLOOKUP($B73,'اداری 1'!C:AB,4,0)</f>
        <v>#N/A</v>
      </c>
      <c r="F73" s="78" t="e">
        <f>VLOOKUP($B73,'اداری 1'!$C:$AA,13,0)</f>
        <v>#N/A</v>
      </c>
      <c r="G73" s="78" t="e">
        <f>VLOOKUP($B73,'اداری 1'!$C:$AA,13,0)</f>
        <v>#N/A</v>
      </c>
      <c r="H73" s="78" t="e">
        <f>VLOOKUP($B73,'اداری 1'!$C:$AA,20,0)</f>
        <v>#N/A</v>
      </c>
      <c r="I73" s="66">
        <v>0</v>
      </c>
      <c r="J73" s="78" t="e">
        <f>IF(VLOOKUP($B73,'اداری 1'!$C:$AA,21,0)="",0,VLOOKUP($B73,'اداری 1'!$C:$AA,21,0))</f>
        <v>#N/A</v>
      </c>
      <c r="K73" s="78">
        <v>0</v>
      </c>
      <c r="L73" s="78">
        <v>0</v>
      </c>
      <c r="M73" s="78">
        <v>0</v>
      </c>
      <c r="N73" s="78" t="e">
        <f>IF(VLOOKUP($B73,'اداری 1'!$C:$AA,17,0)="",0,VLOOKUP($B73,'اداری 1'!$C:$AA,17,0))</f>
        <v>#N/A</v>
      </c>
      <c r="O73" s="67">
        <v>0</v>
      </c>
      <c r="P73" s="68" t="e">
        <f t="shared" si="8"/>
        <v>#N/A</v>
      </c>
      <c r="Q73" s="155" t="e">
        <f t="shared" si="9"/>
        <v>#N/A</v>
      </c>
      <c r="R73" s="68" t="e">
        <f t="shared" si="10"/>
        <v>#N/A</v>
      </c>
      <c r="S73" s="68" t="e">
        <f t="shared" si="11"/>
        <v>#N/A</v>
      </c>
      <c r="T73" s="107">
        <f>VLOOKUP(C73,'خلاصه عملکرد'!D:E,1,0)</f>
        <v>14865</v>
      </c>
    </row>
    <row r="74" spans="1:20" s="69" customFormat="1" ht="21" x14ac:dyDescent="0.55000000000000004">
      <c r="A74" s="76">
        <v>602</v>
      </c>
      <c r="B74" s="102">
        <v>1067</v>
      </c>
      <c r="C74" s="102">
        <v>14867</v>
      </c>
      <c r="D74" s="77" t="s">
        <v>409</v>
      </c>
      <c r="E74" s="78" t="e">
        <f>VLOOKUP($B74,'اداری 1'!C:AB,4,0)</f>
        <v>#N/A</v>
      </c>
      <c r="F74" s="78" t="e">
        <f>VLOOKUP($B74,'اداری 1'!$C:$AA,13,0)</f>
        <v>#N/A</v>
      </c>
      <c r="G74" s="78" t="e">
        <f>VLOOKUP($B74,'اداری 1'!$C:$AA,13,0)</f>
        <v>#N/A</v>
      </c>
      <c r="H74" s="78" t="e">
        <f>VLOOKUP($B74,'اداری 1'!$C:$AA,20,0)</f>
        <v>#N/A</v>
      </c>
      <c r="I74" s="66">
        <v>0</v>
      </c>
      <c r="J74" s="78" t="e">
        <f>IF(VLOOKUP($B74,'اداری 1'!$C:$AA,21,0)="",0,VLOOKUP($B74,'اداری 1'!$C:$AA,21,0))</f>
        <v>#N/A</v>
      </c>
      <c r="K74" s="78">
        <v>0</v>
      </c>
      <c r="L74" s="78">
        <v>0</v>
      </c>
      <c r="M74" s="78">
        <v>0</v>
      </c>
      <c r="N74" s="78" t="e">
        <f>IF(VLOOKUP($B74,'اداری 1'!$C:$AA,17,0)="",0,VLOOKUP($B74,'اداری 1'!$C:$AA,17,0))</f>
        <v>#N/A</v>
      </c>
      <c r="O74" s="67">
        <v>0</v>
      </c>
      <c r="P74" s="68" t="e">
        <f t="shared" si="8"/>
        <v>#N/A</v>
      </c>
      <c r="Q74" s="155" t="e">
        <f t="shared" si="9"/>
        <v>#N/A</v>
      </c>
      <c r="R74" s="68" t="e">
        <f t="shared" si="10"/>
        <v>#N/A</v>
      </c>
      <c r="S74" s="68" t="e">
        <f t="shared" si="11"/>
        <v>#N/A</v>
      </c>
      <c r="T74" s="107">
        <f>VLOOKUP(C74,'خلاصه عملکرد'!D:E,1,0)</f>
        <v>14867</v>
      </c>
    </row>
    <row r="75" spans="1:20" s="69" customFormat="1" ht="21" x14ac:dyDescent="0.55000000000000004">
      <c r="A75" s="76">
        <v>686</v>
      </c>
      <c r="B75" s="102">
        <v>1068</v>
      </c>
      <c r="C75" s="102">
        <v>14866</v>
      </c>
      <c r="D75" s="77" t="s">
        <v>410</v>
      </c>
      <c r="E75" s="78" t="e">
        <f>VLOOKUP($B75,'اداری 1'!C:AB,4,0)</f>
        <v>#N/A</v>
      </c>
      <c r="F75" s="78" t="e">
        <f>VLOOKUP($B75,'اداری 1'!$C:$AA,13,0)</f>
        <v>#N/A</v>
      </c>
      <c r="G75" s="78" t="e">
        <f>VLOOKUP($B75,'اداری 1'!$C:$AA,13,0)</f>
        <v>#N/A</v>
      </c>
      <c r="H75" s="78" t="e">
        <f>VLOOKUP($B75,'اداری 1'!$C:$AA,20,0)</f>
        <v>#N/A</v>
      </c>
      <c r="I75" s="66">
        <v>0</v>
      </c>
      <c r="J75" s="78" t="e">
        <f>IF(VLOOKUP($B75,'اداری 1'!$C:$AA,21,0)="",0,VLOOKUP($B75,'اداری 1'!$C:$AA,21,0))</f>
        <v>#N/A</v>
      </c>
      <c r="K75" s="78">
        <v>0</v>
      </c>
      <c r="L75" s="78">
        <v>0</v>
      </c>
      <c r="M75" s="78">
        <v>0</v>
      </c>
      <c r="N75" s="78" t="e">
        <f>IF(VLOOKUP($B75,'اداری 1'!$C:$AA,17,0)="",0,VLOOKUP($B75,'اداری 1'!$C:$AA,17,0))</f>
        <v>#N/A</v>
      </c>
      <c r="O75" s="67">
        <v>0</v>
      </c>
      <c r="P75" s="68" t="e">
        <f t="shared" si="8"/>
        <v>#N/A</v>
      </c>
      <c r="Q75" s="155" t="e">
        <f t="shared" si="9"/>
        <v>#N/A</v>
      </c>
      <c r="R75" s="68" t="e">
        <f t="shared" si="10"/>
        <v>#N/A</v>
      </c>
      <c r="S75" s="68" t="e">
        <f t="shared" si="11"/>
        <v>#N/A</v>
      </c>
      <c r="T75" s="107">
        <f>VLOOKUP(C75,'خلاصه عملکرد'!D:E,1,0)</f>
        <v>14866</v>
      </c>
    </row>
    <row r="76" spans="1:20" s="69" customFormat="1" ht="21" x14ac:dyDescent="0.55000000000000004">
      <c r="A76" s="76">
        <v>767</v>
      </c>
      <c r="B76" s="102">
        <v>1076</v>
      </c>
      <c r="C76" s="102">
        <v>1076</v>
      </c>
      <c r="D76" s="77" t="s">
        <v>236</v>
      </c>
      <c r="E76" s="78" t="e">
        <f>VLOOKUP($B76,'اداری 1'!C:AB,4,0)</f>
        <v>#N/A</v>
      </c>
      <c r="F76" s="78" t="e">
        <f>VLOOKUP($B76,'اداری 1'!$C:$AA,13,0)</f>
        <v>#N/A</v>
      </c>
      <c r="G76" s="78" t="e">
        <f>VLOOKUP($B76,'اداری 1'!$C:$AA,13,0)</f>
        <v>#N/A</v>
      </c>
      <c r="H76" s="78" t="e">
        <f>VLOOKUP($B76,'اداری 1'!$C:$AA,20,0)</f>
        <v>#N/A</v>
      </c>
      <c r="I76" s="66">
        <v>0</v>
      </c>
      <c r="J76" s="78" t="e">
        <f>IF(VLOOKUP($B76,'اداری 1'!$C:$AA,21,0)="",0,VLOOKUP($B76,'اداری 1'!$C:$AA,21,0))</f>
        <v>#N/A</v>
      </c>
      <c r="K76" s="78">
        <v>0</v>
      </c>
      <c r="L76" s="78">
        <v>0</v>
      </c>
      <c r="M76" s="78">
        <v>0</v>
      </c>
      <c r="N76" s="78" t="e">
        <f>IF(VLOOKUP($B76,'اداری 1'!$C:$AA,17,0)="",0,VLOOKUP($B76,'اداری 1'!$C:$AA,17,0))</f>
        <v>#N/A</v>
      </c>
      <c r="O76" s="67">
        <v>0</v>
      </c>
      <c r="P76" s="68" t="e">
        <f t="shared" si="8"/>
        <v>#N/A</v>
      </c>
      <c r="Q76" s="155" t="e">
        <f t="shared" si="9"/>
        <v>#N/A</v>
      </c>
      <c r="R76" s="68" t="e">
        <f t="shared" si="10"/>
        <v>#N/A</v>
      </c>
      <c r="S76" s="68" t="e">
        <f t="shared" si="11"/>
        <v>#N/A</v>
      </c>
      <c r="T76" s="107" t="e">
        <f>VLOOKUP(C76,'خلاصه عملکرد'!D:E,1,0)</f>
        <v>#N/A</v>
      </c>
    </row>
    <row r="77" spans="1:20" s="79" customFormat="1" ht="21" x14ac:dyDescent="0.55000000000000004">
      <c r="A77" s="76">
        <v>1013</v>
      </c>
      <c r="B77" s="102">
        <v>1086</v>
      </c>
      <c r="C77" s="102">
        <v>14881</v>
      </c>
      <c r="D77" s="77" t="s">
        <v>420</v>
      </c>
      <c r="E77" s="78" t="e">
        <f>VLOOKUP($B77,'اداری 1'!C:AB,4,0)</f>
        <v>#N/A</v>
      </c>
      <c r="F77" s="78" t="e">
        <f>VLOOKUP($B77,'اداری 1'!$C:$AA,13,0)</f>
        <v>#N/A</v>
      </c>
      <c r="G77" s="78" t="e">
        <f>VLOOKUP($B77,'اداری 1'!$C:$AA,13,0)</f>
        <v>#N/A</v>
      </c>
      <c r="H77" s="78" t="e">
        <f>VLOOKUP($B77,'اداری 1'!$C:$AA,20,0)</f>
        <v>#N/A</v>
      </c>
      <c r="I77" s="66">
        <v>0</v>
      </c>
      <c r="J77" s="78" t="e">
        <f>IF(VLOOKUP($B77,'اداری 1'!$C:$AA,21,0)="",0,VLOOKUP($B77,'اداری 1'!$C:$AA,21,0))</f>
        <v>#N/A</v>
      </c>
      <c r="K77" s="78">
        <v>0</v>
      </c>
      <c r="L77" s="78">
        <v>0</v>
      </c>
      <c r="M77" s="78">
        <v>0</v>
      </c>
      <c r="N77" s="78" t="e">
        <f>IF(VLOOKUP($B77,'اداری 1'!$C:$AA,17,0)="",0,VLOOKUP($B77,'اداری 1'!$C:$AA,17,0))</f>
        <v>#N/A</v>
      </c>
      <c r="O77" s="67">
        <v>0</v>
      </c>
      <c r="P77" s="68" t="e">
        <f t="shared" si="8"/>
        <v>#N/A</v>
      </c>
      <c r="Q77" s="155" t="e">
        <f t="shared" si="9"/>
        <v>#N/A</v>
      </c>
      <c r="R77" s="68" t="e">
        <f t="shared" si="10"/>
        <v>#N/A</v>
      </c>
      <c r="S77" s="68" t="e">
        <f t="shared" si="11"/>
        <v>#N/A</v>
      </c>
      <c r="T77" s="107">
        <f>VLOOKUP(C77,'خلاصه عملکرد'!D:E,1,0)</f>
        <v>14881</v>
      </c>
    </row>
    <row r="78" spans="1:20" s="69" customFormat="1" ht="21" x14ac:dyDescent="0.55000000000000004">
      <c r="A78" s="76">
        <v>1053</v>
      </c>
      <c r="B78" s="102">
        <v>1095</v>
      </c>
      <c r="C78" s="102">
        <v>14888</v>
      </c>
      <c r="D78" s="77" t="s">
        <v>433</v>
      </c>
      <c r="E78" s="78" t="e">
        <f>VLOOKUP($B78,'اداری 1'!C:AB,4,0)</f>
        <v>#N/A</v>
      </c>
      <c r="F78" s="78" t="e">
        <f>VLOOKUP($B78,'اداری 1'!$C:$AA,13,0)</f>
        <v>#N/A</v>
      </c>
      <c r="G78" s="78" t="e">
        <f>VLOOKUP($B78,'اداری 1'!$C:$AA,13,0)</f>
        <v>#N/A</v>
      </c>
      <c r="H78" s="78" t="e">
        <f>VLOOKUP($B78,'اداری 1'!$C:$AA,20,0)</f>
        <v>#N/A</v>
      </c>
      <c r="I78" s="66">
        <v>0</v>
      </c>
      <c r="J78" s="78" t="e">
        <f>IF(VLOOKUP($B78,'اداری 1'!$C:$AA,21,0)="",0,VLOOKUP($B78,'اداری 1'!$C:$AA,21,0))</f>
        <v>#N/A</v>
      </c>
      <c r="K78" s="78">
        <v>0</v>
      </c>
      <c r="L78" s="78">
        <v>0</v>
      </c>
      <c r="M78" s="78">
        <v>0</v>
      </c>
      <c r="N78" s="78" t="e">
        <f>IF(VLOOKUP($B78,'اداری 1'!$C:$AA,17,0)="",0,VLOOKUP($B78,'اداری 1'!$C:$AA,17,0))</f>
        <v>#N/A</v>
      </c>
      <c r="O78" s="67">
        <v>0</v>
      </c>
      <c r="P78" s="68" t="e">
        <f t="shared" si="8"/>
        <v>#N/A</v>
      </c>
      <c r="Q78" s="155" t="e">
        <f t="shared" si="9"/>
        <v>#N/A</v>
      </c>
      <c r="R78" s="68" t="e">
        <f t="shared" si="10"/>
        <v>#N/A</v>
      </c>
      <c r="S78" s="68" t="e">
        <f t="shared" si="11"/>
        <v>#N/A</v>
      </c>
      <c r="T78" s="107">
        <f>VLOOKUP(C78,'خلاصه عملکرد'!D:E,1,0)</f>
        <v>14888</v>
      </c>
    </row>
    <row r="79" spans="1:20" s="69" customFormat="1" ht="21" x14ac:dyDescent="0.55000000000000004">
      <c r="A79" s="76"/>
      <c r="B79" s="102">
        <v>1097</v>
      </c>
      <c r="C79" s="102">
        <v>1097</v>
      </c>
      <c r="D79" s="77" t="s">
        <v>305</v>
      </c>
      <c r="E79" s="78" t="e">
        <f>VLOOKUP($B79,'اداری 1'!C:AB,4,0)</f>
        <v>#N/A</v>
      </c>
      <c r="F79" s="78" t="e">
        <f>VLOOKUP($B79,'اداری 1'!$C:$AA,13,0)</f>
        <v>#N/A</v>
      </c>
      <c r="G79" s="78" t="e">
        <f>VLOOKUP($B79,'اداری 1'!$C:$AA,13,0)</f>
        <v>#N/A</v>
      </c>
      <c r="H79" s="78" t="e">
        <f>VLOOKUP($B79,'اداری 1'!$C:$AA,20,0)</f>
        <v>#N/A</v>
      </c>
      <c r="I79" s="66">
        <v>0</v>
      </c>
      <c r="J79" s="78" t="e">
        <f>IF(VLOOKUP($B79,'اداری 1'!$C:$AA,21,0)="",0,VLOOKUP($B79,'اداری 1'!$C:$AA,21,0))</f>
        <v>#N/A</v>
      </c>
      <c r="K79" s="78">
        <v>0</v>
      </c>
      <c r="L79" s="78">
        <v>0</v>
      </c>
      <c r="M79" s="78">
        <v>0</v>
      </c>
      <c r="N79" s="78" t="e">
        <f>IF(VLOOKUP($B79,'اداری 1'!$C:$AA,17,0)="",0,VLOOKUP($B79,'اداری 1'!$C:$AA,17,0))</f>
        <v>#N/A</v>
      </c>
      <c r="O79" s="67">
        <v>0</v>
      </c>
      <c r="P79" s="68" t="e">
        <f t="shared" si="8"/>
        <v>#N/A</v>
      </c>
      <c r="Q79" s="155" t="e">
        <f t="shared" si="9"/>
        <v>#N/A</v>
      </c>
      <c r="R79" s="68" t="e">
        <f t="shared" si="10"/>
        <v>#N/A</v>
      </c>
      <c r="S79" s="68" t="e">
        <f t="shared" si="11"/>
        <v>#N/A</v>
      </c>
      <c r="T79" s="107" t="e">
        <f>VLOOKUP(C79,'خلاصه عملکرد'!D:E,1,0)</f>
        <v>#N/A</v>
      </c>
    </row>
    <row r="80" spans="1:20" s="69" customFormat="1" ht="21" x14ac:dyDescent="0.55000000000000004">
      <c r="A80" s="76"/>
      <c r="B80" s="102">
        <v>1098</v>
      </c>
      <c r="C80" s="102">
        <v>1098</v>
      </c>
      <c r="D80" s="77" t="s">
        <v>422</v>
      </c>
      <c r="E80" s="78" t="e">
        <f>VLOOKUP($B80,'اداری 1'!C:AB,4,0)</f>
        <v>#N/A</v>
      </c>
      <c r="F80" s="78" t="e">
        <f>VLOOKUP($B80,'اداری 1'!$C:$AA,13,0)</f>
        <v>#N/A</v>
      </c>
      <c r="G80" s="78" t="e">
        <f>VLOOKUP($B80,'اداری 1'!$C:$AA,13,0)</f>
        <v>#N/A</v>
      </c>
      <c r="H80" s="78" t="e">
        <f>VLOOKUP($B80,'اداری 1'!$C:$AA,20,0)</f>
        <v>#N/A</v>
      </c>
      <c r="I80" s="66">
        <v>0</v>
      </c>
      <c r="J80" s="78" t="e">
        <f>IF(VLOOKUP($B80,'اداری 1'!$C:$AA,21,0)="",0,VLOOKUP($B80,'اداری 1'!$C:$AA,21,0))</f>
        <v>#N/A</v>
      </c>
      <c r="K80" s="78">
        <v>0</v>
      </c>
      <c r="L80" s="78">
        <v>0</v>
      </c>
      <c r="M80" s="78">
        <v>0</v>
      </c>
      <c r="N80" s="78" t="e">
        <f>IF(VLOOKUP($B80,'اداری 1'!$C:$AA,17,0)="",0,VLOOKUP($B80,'اداری 1'!$C:$AA,17,0))</f>
        <v>#N/A</v>
      </c>
      <c r="O80" s="67">
        <v>0</v>
      </c>
      <c r="P80" s="68" t="e">
        <f t="shared" si="8"/>
        <v>#N/A</v>
      </c>
      <c r="Q80" s="155" t="e">
        <f t="shared" si="9"/>
        <v>#N/A</v>
      </c>
      <c r="R80" s="68" t="e">
        <f t="shared" si="10"/>
        <v>#N/A</v>
      </c>
      <c r="S80" s="68" t="e">
        <f t="shared" si="11"/>
        <v>#N/A</v>
      </c>
      <c r="T80" s="107" t="e">
        <f>VLOOKUP(C80,'خلاصه عملکرد'!D:E,1,0)</f>
        <v>#N/A</v>
      </c>
    </row>
    <row r="81" spans="1:20" s="69" customFormat="1" ht="21" x14ac:dyDescent="0.55000000000000004">
      <c r="A81" s="76"/>
      <c r="B81" s="102">
        <v>1118</v>
      </c>
      <c r="C81" s="102">
        <v>14898</v>
      </c>
      <c r="D81" s="77" t="s">
        <v>438</v>
      </c>
      <c r="E81" s="78" t="e">
        <f>VLOOKUP($B81,'اداری 1'!C:AB,4,0)</f>
        <v>#N/A</v>
      </c>
      <c r="F81" s="78" t="e">
        <f>VLOOKUP($B81,'اداری 1'!$C:$AA,13,0)</f>
        <v>#N/A</v>
      </c>
      <c r="G81" s="78" t="e">
        <f>VLOOKUP($B81,'اداری 1'!$C:$AA,13,0)</f>
        <v>#N/A</v>
      </c>
      <c r="H81" s="78" t="e">
        <f>VLOOKUP($B81,'اداری 1'!$C:$AA,20,0)</f>
        <v>#N/A</v>
      </c>
      <c r="I81" s="66">
        <v>0</v>
      </c>
      <c r="J81" s="78" t="e">
        <f>IF(VLOOKUP($B81,'اداری 1'!$C:$AA,21,0)="",0,VLOOKUP($B81,'اداری 1'!$C:$AA,21,0))</f>
        <v>#N/A</v>
      </c>
      <c r="K81" s="78">
        <v>0</v>
      </c>
      <c r="L81" s="78">
        <v>0</v>
      </c>
      <c r="M81" s="78">
        <v>0</v>
      </c>
      <c r="N81" s="78" t="e">
        <f>IF(VLOOKUP($B81,'اداری 1'!$C:$AA,17,0)="",0,VLOOKUP($B81,'اداری 1'!$C:$AA,17,0))</f>
        <v>#N/A</v>
      </c>
      <c r="O81" s="67">
        <v>0</v>
      </c>
      <c r="P81" s="68" t="e">
        <f t="shared" si="8"/>
        <v>#N/A</v>
      </c>
      <c r="Q81" s="155" t="e">
        <f t="shared" si="9"/>
        <v>#N/A</v>
      </c>
      <c r="R81" s="68" t="e">
        <f t="shared" si="10"/>
        <v>#N/A</v>
      </c>
      <c r="S81" s="68" t="e">
        <f t="shared" si="11"/>
        <v>#N/A</v>
      </c>
      <c r="T81" s="107">
        <f>VLOOKUP(C81,'خلاصه عملکرد'!D:E,1,0)</f>
        <v>14898</v>
      </c>
    </row>
    <row r="82" spans="1:20" s="69" customFormat="1" ht="21" x14ac:dyDescent="0.55000000000000004">
      <c r="A82" s="76"/>
      <c r="B82" s="102">
        <v>1126</v>
      </c>
      <c r="C82" s="102">
        <v>14907</v>
      </c>
      <c r="D82" s="77" t="s">
        <v>458</v>
      </c>
      <c r="E82" s="78" t="e">
        <f>VLOOKUP($B82,'اداری 1'!C:AB,4,0)</f>
        <v>#N/A</v>
      </c>
      <c r="F82" s="78" t="e">
        <f>VLOOKUP($B82,'اداری 1'!$C:$AA,13,0)</f>
        <v>#N/A</v>
      </c>
      <c r="G82" s="78" t="e">
        <f>VLOOKUP($B82,'اداری 1'!$C:$AA,13,0)</f>
        <v>#N/A</v>
      </c>
      <c r="H82" s="78" t="e">
        <f>VLOOKUP($B82,'اداری 1'!$C:$AA,20,0)</f>
        <v>#N/A</v>
      </c>
      <c r="I82" s="66">
        <v>0</v>
      </c>
      <c r="J82" s="78" t="e">
        <f>IF(VLOOKUP($B82,'اداری 1'!$C:$AA,21,0)="",0,VLOOKUP($B82,'اداری 1'!$C:$AA,21,0))</f>
        <v>#N/A</v>
      </c>
      <c r="K82" s="78">
        <v>0</v>
      </c>
      <c r="L82" s="78">
        <v>0</v>
      </c>
      <c r="M82" s="78">
        <v>0</v>
      </c>
      <c r="N82" s="78" t="e">
        <f>IF(VLOOKUP($B82,'اداری 1'!$C:$AA,17,0)="",0,VLOOKUP($B82,'اداری 1'!$C:$AA,17,0))</f>
        <v>#N/A</v>
      </c>
      <c r="O82" s="67">
        <v>0</v>
      </c>
      <c r="P82" s="68" t="e">
        <f t="shared" si="8"/>
        <v>#N/A</v>
      </c>
      <c r="Q82" s="155" t="e">
        <f t="shared" si="9"/>
        <v>#N/A</v>
      </c>
      <c r="R82" s="68" t="e">
        <f t="shared" si="10"/>
        <v>#N/A</v>
      </c>
      <c r="S82" s="68" t="e">
        <f t="shared" si="11"/>
        <v>#N/A</v>
      </c>
      <c r="T82" s="107">
        <f>VLOOKUP(C82,'خلاصه عملکرد'!D:E,1,0)</f>
        <v>14907</v>
      </c>
    </row>
    <row r="83" spans="1:20" s="69" customFormat="1" ht="21" x14ac:dyDescent="0.55000000000000004">
      <c r="A83" s="76"/>
      <c r="B83" s="102">
        <v>1127</v>
      </c>
      <c r="C83" s="102">
        <v>14903</v>
      </c>
      <c r="D83" s="77" t="s">
        <v>459</v>
      </c>
      <c r="E83" s="78" t="e">
        <f>VLOOKUP($B83,'اداری 1'!C:AB,4,0)</f>
        <v>#N/A</v>
      </c>
      <c r="F83" s="78" t="e">
        <f>VLOOKUP($B83,'اداری 1'!$C:$AA,13,0)</f>
        <v>#N/A</v>
      </c>
      <c r="G83" s="78" t="e">
        <f>VLOOKUP($B83,'اداری 1'!$C:$AA,13,0)</f>
        <v>#N/A</v>
      </c>
      <c r="H83" s="78" t="e">
        <f>VLOOKUP($B83,'اداری 1'!$C:$AA,20,0)</f>
        <v>#N/A</v>
      </c>
      <c r="I83" s="66">
        <v>0</v>
      </c>
      <c r="J83" s="78" t="e">
        <f>IF(VLOOKUP($B83,'اداری 1'!$C:$AA,21,0)="",0,VLOOKUP($B83,'اداری 1'!$C:$AA,21,0))</f>
        <v>#N/A</v>
      </c>
      <c r="K83" s="78">
        <v>0</v>
      </c>
      <c r="L83" s="78">
        <v>0</v>
      </c>
      <c r="M83" s="78">
        <v>0</v>
      </c>
      <c r="N83" s="78" t="e">
        <f>IF(VLOOKUP($B83,'اداری 1'!$C:$AA,17,0)="",0,VLOOKUP($B83,'اداری 1'!$C:$AA,17,0))</f>
        <v>#N/A</v>
      </c>
      <c r="O83" s="67">
        <v>0</v>
      </c>
      <c r="P83" s="68" t="e">
        <f t="shared" si="8"/>
        <v>#N/A</v>
      </c>
      <c r="Q83" s="155" t="e">
        <f t="shared" si="9"/>
        <v>#N/A</v>
      </c>
      <c r="R83" s="68" t="e">
        <f t="shared" si="10"/>
        <v>#N/A</v>
      </c>
      <c r="S83" s="68" t="e">
        <f t="shared" si="11"/>
        <v>#N/A</v>
      </c>
      <c r="T83" s="107">
        <f>VLOOKUP(C83,'خلاصه عملکرد'!D:E,1,0)</f>
        <v>14903</v>
      </c>
    </row>
    <row r="84" spans="1:20" s="69" customFormat="1" ht="21" x14ac:dyDescent="0.55000000000000004">
      <c r="A84" s="76"/>
      <c r="B84" s="102">
        <v>1130</v>
      </c>
      <c r="C84" s="102">
        <v>14901</v>
      </c>
      <c r="D84" s="77" t="s">
        <v>461</v>
      </c>
      <c r="E84" s="78" t="e">
        <f>VLOOKUP($B84,'اداری 1'!C:AB,4,0)</f>
        <v>#N/A</v>
      </c>
      <c r="F84" s="78" t="e">
        <f>VLOOKUP($B84,'اداری 1'!$C:$AA,13,0)</f>
        <v>#N/A</v>
      </c>
      <c r="G84" s="78" t="e">
        <f>VLOOKUP($B84,'اداری 1'!$C:$AA,13,0)</f>
        <v>#N/A</v>
      </c>
      <c r="H84" s="78" t="e">
        <f>VLOOKUP($B84,'اداری 1'!$C:$AA,20,0)</f>
        <v>#N/A</v>
      </c>
      <c r="I84" s="66">
        <v>0</v>
      </c>
      <c r="J84" s="78" t="e">
        <f>IF(VLOOKUP($B84,'اداری 1'!$C:$AA,21,0)="",0,VLOOKUP($B84,'اداری 1'!$C:$AA,21,0))</f>
        <v>#N/A</v>
      </c>
      <c r="K84" s="78">
        <v>0</v>
      </c>
      <c r="L84" s="78">
        <v>0</v>
      </c>
      <c r="M84" s="78">
        <v>0</v>
      </c>
      <c r="N84" s="78" t="e">
        <f>IF(VLOOKUP($B84,'اداری 1'!$C:$AA,17,0)="",0,VLOOKUP($B84,'اداری 1'!$C:$AA,17,0))</f>
        <v>#N/A</v>
      </c>
      <c r="O84" s="67">
        <v>0</v>
      </c>
      <c r="P84" s="68" t="e">
        <f t="shared" si="8"/>
        <v>#N/A</v>
      </c>
      <c r="Q84" s="155" t="e">
        <f t="shared" si="9"/>
        <v>#N/A</v>
      </c>
      <c r="R84" s="68" t="e">
        <f t="shared" si="10"/>
        <v>#N/A</v>
      </c>
      <c r="S84" s="68" t="e">
        <f t="shared" si="11"/>
        <v>#N/A</v>
      </c>
      <c r="T84" s="107">
        <f>VLOOKUP(C84,'خلاصه عملکرد'!D:E,1,0)</f>
        <v>14901</v>
      </c>
    </row>
    <row r="85" spans="1:20" s="69" customFormat="1" ht="21" x14ac:dyDescent="0.55000000000000004">
      <c r="A85" s="76">
        <v>887</v>
      </c>
      <c r="B85" s="102">
        <v>1131</v>
      </c>
      <c r="C85" s="102">
        <v>14904</v>
      </c>
      <c r="D85" s="77" t="s">
        <v>462</v>
      </c>
      <c r="E85" s="78" t="e">
        <f>VLOOKUP($B85,'اداری 1'!C:AB,4,0)</f>
        <v>#N/A</v>
      </c>
      <c r="F85" s="78" t="e">
        <f>VLOOKUP($B85,'اداری 1'!$C:$AA,13,0)</f>
        <v>#N/A</v>
      </c>
      <c r="G85" s="78" t="e">
        <f>VLOOKUP($B85,'اداری 1'!$C:$AA,13,0)</f>
        <v>#N/A</v>
      </c>
      <c r="H85" s="78" t="e">
        <f>VLOOKUP($B85,'اداری 1'!$C:$AA,20,0)</f>
        <v>#N/A</v>
      </c>
      <c r="I85" s="66">
        <v>0</v>
      </c>
      <c r="J85" s="78" t="e">
        <f>IF(VLOOKUP($B85,'اداری 1'!$C:$AA,21,0)="",0,VLOOKUP($B85,'اداری 1'!$C:$AA,21,0))</f>
        <v>#N/A</v>
      </c>
      <c r="K85" s="78">
        <v>0</v>
      </c>
      <c r="L85" s="78">
        <v>0</v>
      </c>
      <c r="M85" s="78">
        <v>0</v>
      </c>
      <c r="N85" s="78" t="e">
        <f>IF(VLOOKUP($B85,'اداری 1'!$C:$AA,17,0)="",0,VLOOKUP($B85,'اداری 1'!$C:$AA,17,0))</f>
        <v>#N/A</v>
      </c>
      <c r="O85" s="67">
        <v>0</v>
      </c>
      <c r="P85" s="68" t="e">
        <f t="shared" si="8"/>
        <v>#N/A</v>
      </c>
      <c r="Q85" s="155" t="e">
        <f t="shared" si="9"/>
        <v>#N/A</v>
      </c>
      <c r="R85" s="68" t="e">
        <f t="shared" si="10"/>
        <v>#N/A</v>
      </c>
      <c r="S85" s="68" t="e">
        <f t="shared" si="11"/>
        <v>#N/A</v>
      </c>
      <c r="T85" s="107">
        <f>VLOOKUP(C85,'خلاصه عملکرد'!D:E,1,0)</f>
        <v>14904</v>
      </c>
    </row>
    <row r="86" spans="1:20" s="69" customFormat="1" ht="21" x14ac:dyDescent="0.55000000000000004">
      <c r="A86" s="76">
        <v>1001</v>
      </c>
      <c r="B86" s="102">
        <v>1136</v>
      </c>
      <c r="C86" s="102">
        <v>1136</v>
      </c>
      <c r="D86" s="77" t="s">
        <v>493</v>
      </c>
      <c r="E86" s="78" t="e">
        <f>VLOOKUP($B86,'اداری 1'!C:AB,4,0)</f>
        <v>#N/A</v>
      </c>
      <c r="F86" s="78" t="e">
        <f>VLOOKUP($B86,'اداری 1'!$C:$AA,13,0)</f>
        <v>#N/A</v>
      </c>
      <c r="G86" s="78" t="e">
        <f>VLOOKUP($B86,'اداری 1'!$C:$AA,13,0)</f>
        <v>#N/A</v>
      </c>
      <c r="H86" s="78" t="e">
        <f>VLOOKUP($B86,'اداری 1'!$C:$AA,20,0)</f>
        <v>#N/A</v>
      </c>
      <c r="I86" s="66">
        <v>0</v>
      </c>
      <c r="J86" s="78" t="e">
        <f>IF(VLOOKUP($B86,'اداری 1'!$C:$AA,21,0)="",0,VLOOKUP($B86,'اداری 1'!$C:$AA,21,0))</f>
        <v>#N/A</v>
      </c>
      <c r="K86" s="78">
        <v>0</v>
      </c>
      <c r="L86" s="78">
        <v>0</v>
      </c>
      <c r="M86" s="78">
        <v>0</v>
      </c>
      <c r="N86" s="78" t="e">
        <f>IF(VLOOKUP($B86,'اداری 1'!$C:$AA,17,0)="",0,VLOOKUP($B86,'اداری 1'!$C:$AA,17,0))</f>
        <v>#N/A</v>
      </c>
      <c r="O86" s="67">
        <v>0</v>
      </c>
      <c r="P86" s="68" t="e">
        <f t="shared" si="8"/>
        <v>#N/A</v>
      </c>
      <c r="Q86" s="155" t="e">
        <f t="shared" si="9"/>
        <v>#N/A</v>
      </c>
      <c r="R86" s="68" t="e">
        <f t="shared" si="10"/>
        <v>#N/A</v>
      </c>
      <c r="S86" s="68" t="e">
        <f t="shared" si="11"/>
        <v>#N/A</v>
      </c>
      <c r="T86" s="107">
        <f>VLOOKUP(C86,'خلاصه عملکرد'!D:E,1,0)</f>
        <v>1136</v>
      </c>
    </row>
    <row r="87" spans="1:20" s="69" customFormat="1" ht="21" x14ac:dyDescent="0.55000000000000004">
      <c r="A87" s="76">
        <v>472</v>
      </c>
      <c r="B87" s="102">
        <v>1137</v>
      </c>
      <c r="C87" s="102">
        <v>14906</v>
      </c>
      <c r="D87" s="77" t="s">
        <v>464</v>
      </c>
      <c r="E87" s="78" t="e">
        <f>VLOOKUP($B87,'اداری 1'!C:AB,4,0)</f>
        <v>#N/A</v>
      </c>
      <c r="F87" s="78" t="e">
        <f>VLOOKUP($B87,'اداری 1'!$C:$AA,13,0)</f>
        <v>#N/A</v>
      </c>
      <c r="G87" s="78" t="e">
        <f>VLOOKUP($B87,'اداری 1'!$C:$AA,13,0)</f>
        <v>#N/A</v>
      </c>
      <c r="H87" s="78" t="e">
        <f>VLOOKUP($B87,'اداری 1'!$C:$AA,20,0)</f>
        <v>#N/A</v>
      </c>
      <c r="I87" s="66">
        <v>0</v>
      </c>
      <c r="J87" s="78" t="e">
        <f>IF(VLOOKUP($B87,'اداری 1'!$C:$AA,21,0)="",0,VLOOKUP($B87,'اداری 1'!$C:$AA,21,0))</f>
        <v>#N/A</v>
      </c>
      <c r="K87" s="78">
        <v>0</v>
      </c>
      <c r="L87" s="78">
        <v>0</v>
      </c>
      <c r="M87" s="78">
        <v>0</v>
      </c>
      <c r="N87" s="78" t="e">
        <f>IF(VLOOKUP($B87,'اداری 1'!$C:$AA,17,0)="",0,VLOOKUP($B87,'اداری 1'!$C:$AA,17,0))</f>
        <v>#N/A</v>
      </c>
      <c r="O87" s="67">
        <v>0</v>
      </c>
      <c r="P87" s="68" t="e">
        <f t="shared" si="8"/>
        <v>#N/A</v>
      </c>
      <c r="Q87" s="155" t="e">
        <f t="shared" si="9"/>
        <v>#N/A</v>
      </c>
      <c r="R87" s="68" t="e">
        <f t="shared" si="10"/>
        <v>#N/A</v>
      </c>
      <c r="S87" s="68" t="e">
        <f t="shared" si="11"/>
        <v>#N/A</v>
      </c>
      <c r="T87" s="107">
        <f>VLOOKUP(C87,'خلاصه عملکرد'!D:E,1,0)</f>
        <v>14906</v>
      </c>
    </row>
    <row r="88" spans="1:20" s="69" customFormat="1" ht="21" x14ac:dyDescent="0.55000000000000004">
      <c r="A88" s="76"/>
      <c r="B88" s="102">
        <v>1140</v>
      </c>
      <c r="C88" s="102">
        <v>14917</v>
      </c>
      <c r="D88" s="77" t="s">
        <v>465</v>
      </c>
      <c r="E88" s="78" t="e">
        <f>VLOOKUP($B88,'اداری 1'!C:AB,4,0)</f>
        <v>#N/A</v>
      </c>
      <c r="F88" s="78" t="e">
        <f>VLOOKUP($B88,'اداری 1'!$C:$AA,13,0)</f>
        <v>#N/A</v>
      </c>
      <c r="G88" s="78" t="e">
        <f>VLOOKUP($B88,'اداری 1'!$C:$AA,13,0)</f>
        <v>#N/A</v>
      </c>
      <c r="H88" s="78" t="e">
        <f>VLOOKUP($B88,'اداری 1'!$C:$AA,20,0)</f>
        <v>#N/A</v>
      </c>
      <c r="I88" s="66">
        <v>0</v>
      </c>
      <c r="J88" s="78" t="e">
        <f>IF(VLOOKUP($B88,'اداری 1'!$C:$AA,21,0)="",0,VLOOKUP($B88,'اداری 1'!$C:$AA,21,0))</f>
        <v>#N/A</v>
      </c>
      <c r="K88" s="78">
        <v>0</v>
      </c>
      <c r="L88" s="78">
        <v>0</v>
      </c>
      <c r="M88" s="78">
        <v>0</v>
      </c>
      <c r="N88" s="78" t="e">
        <f>IF(VLOOKUP($B88,'اداری 1'!$C:$AA,17,0)="",0,VLOOKUP($B88,'اداری 1'!$C:$AA,17,0))</f>
        <v>#N/A</v>
      </c>
      <c r="O88" s="67">
        <v>0</v>
      </c>
      <c r="P88" s="68" t="e">
        <f t="shared" si="8"/>
        <v>#N/A</v>
      </c>
      <c r="Q88" s="155" t="e">
        <f t="shared" si="9"/>
        <v>#N/A</v>
      </c>
      <c r="R88" s="68" t="e">
        <f t="shared" si="10"/>
        <v>#N/A</v>
      </c>
      <c r="S88" s="68" t="e">
        <f t="shared" si="11"/>
        <v>#N/A</v>
      </c>
      <c r="T88" s="107">
        <f>VLOOKUP(C88,'خلاصه عملکرد'!D:E,1,0)</f>
        <v>14917</v>
      </c>
    </row>
    <row r="89" spans="1:20" s="69" customFormat="1" ht="21" x14ac:dyDescent="0.55000000000000004">
      <c r="A89" s="76"/>
      <c r="B89" s="102">
        <v>1141</v>
      </c>
      <c r="C89" s="102">
        <v>14918</v>
      </c>
      <c r="D89" s="77" t="s">
        <v>466</v>
      </c>
      <c r="E89" s="78" t="e">
        <f>VLOOKUP($B89,'اداری 1'!C:AB,4,0)</f>
        <v>#N/A</v>
      </c>
      <c r="F89" s="78" t="e">
        <f>VLOOKUP($B89,'اداری 1'!$C:$AA,13,0)</f>
        <v>#N/A</v>
      </c>
      <c r="G89" s="78" t="e">
        <f>VLOOKUP($B89,'اداری 1'!$C:$AA,13,0)</f>
        <v>#N/A</v>
      </c>
      <c r="H89" s="78" t="e">
        <f>VLOOKUP($B89,'اداری 1'!$C:$AA,20,0)</f>
        <v>#N/A</v>
      </c>
      <c r="I89" s="66">
        <v>0</v>
      </c>
      <c r="J89" s="78" t="e">
        <f>IF(VLOOKUP($B89,'اداری 1'!$C:$AA,21,0)="",0,VLOOKUP($B89,'اداری 1'!$C:$AA,21,0))</f>
        <v>#N/A</v>
      </c>
      <c r="K89" s="78">
        <v>0</v>
      </c>
      <c r="L89" s="78">
        <v>0</v>
      </c>
      <c r="M89" s="78">
        <v>0</v>
      </c>
      <c r="N89" s="78" t="e">
        <f>IF(VLOOKUP($B89,'اداری 1'!$C:$AA,17,0)="",0,VLOOKUP($B89,'اداری 1'!$C:$AA,17,0))</f>
        <v>#N/A</v>
      </c>
      <c r="O89" s="67">
        <v>0</v>
      </c>
      <c r="P89" s="68" t="e">
        <f t="shared" si="8"/>
        <v>#N/A</v>
      </c>
      <c r="Q89" s="155" t="e">
        <f t="shared" si="9"/>
        <v>#N/A</v>
      </c>
      <c r="R89" s="68" t="e">
        <f t="shared" si="10"/>
        <v>#N/A</v>
      </c>
      <c r="S89" s="68" t="e">
        <f t="shared" si="11"/>
        <v>#N/A</v>
      </c>
      <c r="T89" s="107">
        <f>VLOOKUP(C89,'خلاصه عملکرد'!D:E,1,0)</f>
        <v>14918</v>
      </c>
    </row>
    <row r="90" spans="1:20" s="69" customFormat="1" ht="21" x14ac:dyDescent="0.55000000000000004">
      <c r="A90" s="76"/>
      <c r="B90" s="102">
        <v>1142</v>
      </c>
      <c r="C90" s="102">
        <v>14923</v>
      </c>
      <c r="D90" s="77" t="s">
        <v>467</v>
      </c>
      <c r="E90" s="78" t="e">
        <f>VLOOKUP($B90,'اداری 1'!C:AB,4,0)</f>
        <v>#N/A</v>
      </c>
      <c r="F90" s="78" t="e">
        <f>VLOOKUP($B90,'اداری 1'!$C:$AA,13,0)</f>
        <v>#N/A</v>
      </c>
      <c r="G90" s="78" t="e">
        <f>VLOOKUP($B90,'اداری 1'!$C:$AA,13,0)</f>
        <v>#N/A</v>
      </c>
      <c r="H90" s="78" t="e">
        <f>VLOOKUP($B90,'اداری 1'!$C:$AA,20,0)</f>
        <v>#N/A</v>
      </c>
      <c r="I90" s="66">
        <v>0</v>
      </c>
      <c r="J90" s="78" t="e">
        <f>IF(VLOOKUP($B90,'اداری 1'!$C:$AA,21,0)="",0,VLOOKUP($B90,'اداری 1'!$C:$AA,21,0))</f>
        <v>#N/A</v>
      </c>
      <c r="K90" s="78">
        <v>0</v>
      </c>
      <c r="L90" s="78">
        <v>0</v>
      </c>
      <c r="M90" s="78">
        <v>0</v>
      </c>
      <c r="N90" s="78" t="e">
        <f>IF(VLOOKUP($B90,'اداری 1'!$C:$AA,17,0)="",0,VLOOKUP($B90,'اداری 1'!$C:$AA,17,0))</f>
        <v>#N/A</v>
      </c>
      <c r="O90" s="67">
        <v>0</v>
      </c>
      <c r="P90" s="68" t="e">
        <f t="shared" si="8"/>
        <v>#N/A</v>
      </c>
      <c r="Q90" s="155" t="e">
        <f t="shared" si="9"/>
        <v>#N/A</v>
      </c>
      <c r="R90" s="68" t="e">
        <f t="shared" si="10"/>
        <v>#N/A</v>
      </c>
      <c r="S90" s="68" t="e">
        <f t="shared" si="11"/>
        <v>#N/A</v>
      </c>
      <c r="T90" s="107">
        <f>VLOOKUP(C90,'خلاصه عملکرد'!D:E,1,0)</f>
        <v>14923</v>
      </c>
    </row>
    <row r="91" spans="1:20" s="69" customFormat="1" ht="21" x14ac:dyDescent="0.55000000000000004">
      <c r="A91" s="76"/>
      <c r="B91" s="102">
        <v>1144</v>
      </c>
      <c r="C91" s="102">
        <v>14919</v>
      </c>
      <c r="D91" s="77" t="s">
        <v>468</v>
      </c>
      <c r="E91" s="78" t="e">
        <f>VLOOKUP($B91,'اداری 1'!C:AB,4,0)</f>
        <v>#N/A</v>
      </c>
      <c r="F91" s="78" t="e">
        <f>VLOOKUP($B91,'اداری 1'!$C:$AA,13,0)</f>
        <v>#N/A</v>
      </c>
      <c r="G91" s="78" t="e">
        <f>VLOOKUP($B91,'اداری 1'!$C:$AA,13,0)</f>
        <v>#N/A</v>
      </c>
      <c r="H91" s="78" t="e">
        <f>VLOOKUP($B91,'اداری 1'!$C:$AA,20,0)</f>
        <v>#N/A</v>
      </c>
      <c r="I91" s="66">
        <v>0</v>
      </c>
      <c r="J91" s="78" t="e">
        <f>IF(VLOOKUP($B91,'اداری 1'!$C:$AA,21,0)="",0,VLOOKUP($B91,'اداری 1'!$C:$AA,21,0))</f>
        <v>#N/A</v>
      </c>
      <c r="K91" s="78">
        <v>0</v>
      </c>
      <c r="L91" s="78">
        <v>0</v>
      </c>
      <c r="M91" s="78">
        <v>0</v>
      </c>
      <c r="N91" s="78" t="e">
        <f>IF(VLOOKUP($B91,'اداری 1'!$C:$AA,17,0)="",0,VLOOKUP($B91,'اداری 1'!$C:$AA,17,0))</f>
        <v>#N/A</v>
      </c>
      <c r="O91" s="67">
        <v>0</v>
      </c>
      <c r="P91" s="68" t="e">
        <f t="shared" si="8"/>
        <v>#N/A</v>
      </c>
      <c r="Q91" s="155" t="e">
        <f t="shared" si="9"/>
        <v>#N/A</v>
      </c>
      <c r="R91" s="68" t="e">
        <f t="shared" si="10"/>
        <v>#N/A</v>
      </c>
      <c r="S91" s="68" t="e">
        <f t="shared" si="11"/>
        <v>#N/A</v>
      </c>
      <c r="T91" s="107">
        <f>VLOOKUP(C91,'خلاصه عملکرد'!D:E,1,0)</f>
        <v>14919</v>
      </c>
    </row>
    <row r="92" spans="1:20" s="69" customFormat="1" ht="21" x14ac:dyDescent="0.55000000000000004">
      <c r="A92" s="76"/>
      <c r="B92" s="102">
        <v>1145</v>
      </c>
      <c r="C92" s="102">
        <v>14920</v>
      </c>
      <c r="D92" s="77" t="s">
        <v>469</v>
      </c>
      <c r="E92" s="78" t="e">
        <f>VLOOKUP($B92,'اداری 1'!C:AB,4,0)</f>
        <v>#N/A</v>
      </c>
      <c r="F92" s="78" t="e">
        <f>VLOOKUP($B92,'اداری 1'!$C:$AA,13,0)</f>
        <v>#N/A</v>
      </c>
      <c r="G92" s="78" t="e">
        <f>VLOOKUP($B92,'اداری 1'!$C:$AA,13,0)</f>
        <v>#N/A</v>
      </c>
      <c r="H92" s="78" t="e">
        <f>VLOOKUP($B92,'اداری 1'!$C:$AA,20,0)</f>
        <v>#N/A</v>
      </c>
      <c r="I92" s="66">
        <v>0</v>
      </c>
      <c r="J92" s="78" t="e">
        <f>IF(VLOOKUP($B92,'اداری 1'!$C:$AA,21,0)="",0,VLOOKUP($B92,'اداری 1'!$C:$AA,21,0))</f>
        <v>#N/A</v>
      </c>
      <c r="K92" s="78">
        <v>0</v>
      </c>
      <c r="L92" s="78">
        <v>0</v>
      </c>
      <c r="M92" s="78">
        <v>0</v>
      </c>
      <c r="N92" s="78" t="e">
        <f>IF(VLOOKUP($B92,'اداری 1'!$C:$AA,17,0)="",0,VLOOKUP($B92,'اداری 1'!$C:$AA,17,0))</f>
        <v>#N/A</v>
      </c>
      <c r="O92" s="67">
        <v>0</v>
      </c>
      <c r="P92" s="68" t="e">
        <f t="shared" si="8"/>
        <v>#N/A</v>
      </c>
      <c r="Q92" s="155" t="e">
        <f t="shared" si="9"/>
        <v>#N/A</v>
      </c>
      <c r="R92" s="68" t="e">
        <f t="shared" si="10"/>
        <v>#N/A</v>
      </c>
      <c r="S92" s="68" t="e">
        <f t="shared" si="11"/>
        <v>#N/A</v>
      </c>
      <c r="T92" s="107">
        <f>VLOOKUP(C92,'خلاصه عملکرد'!D:E,1,0)</f>
        <v>14920</v>
      </c>
    </row>
    <row r="93" spans="1:20" s="69" customFormat="1" ht="21" x14ac:dyDescent="0.55000000000000004">
      <c r="A93" s="76"/>
      <c r="B93" s="102">
        <v>1156</v>
      </c>
      <c r="C93" s="102">
        <v>14927</v>
      </c>
      <c r="D93" s="77" t="s">
        <v>483</v>
      </c>
      <c r="E93" s="78" t="e">
        <f>VLOOKUP($B93,'اداری 1'!C:AB,4,0)</f>
        <v>#N/A</v>
      </c>
      <c r="F93" s="78" t="e">
        <f>VLOOKUP($B93,'اداری 1'!$C:$AA,13,0)</f>
        <v>#N/A</v>
      </c>
      <c r="G93" s="78" t="e">
        <f>VLOOKUP($B93,'اداری 1'!$C:$AA,13,0)</f>
        <v>#N/A</v>
      </c>
      <c r="H93" s="78" t="e">
        <f>VLOOKUP($B93,'اداری 1'!$C:$AA,20,0)</f>
        <v>#N/A</v>
      </c>
      <c r="I93" s="66">
        <v>0</v>
      </c>
      <c r="J93" s="78" t="e">
        <f>IF(VLOOKUP($B93,'اداری 1'!$C:$AA,21,0)="",0,VLOOKUP($B93,'اداری 1'!$C:$AA,21,0))</f>
        <v>#N/A</v>
      </c>
      <c r="K93" s="78">
        <v>0</v>
      </c>
      <c r="L93" s="78">
        <v>0</v>
      </c>
      <c r="M93" s="78">
        <v>0</v>
      </c>
      <c r="N93" s="78" t="e">
        <f>IF(VLOOKUP($B93,'اداری 1'!$C:$AA,17,0)="",0,VLOOKUP($B93,'اداری 1'!$C:$AA,17,0))</f>
        <v>#N/A</v>
      </c>
      <c r="O93" s="67">
        <v>0</v>
      </c>
      <c r="P93" s="68" t="e">
        <f t="shared" si="8"/>
        <v>#N/A</v>
      </c>
      <c r="Q93" s="155" t="e">
        <f t="shared" si="9"/>
        <v>#N/A</v>
      </c>
      <c r="R93" s="68" t="e">
        <f t="shared" si="10"/>
        <v>#N/A</v>
      </c>
      <c r="S93" s="68" t="e">
        <f t="shared" si="11"/>
        <v>#N/A</v>
      </c>
      <c r="T93" s="107">
        <f>VLOOKUP(C93,'خلاصه عملکرد'!D:E,1,0)</f>
        <v>14927</v>
      </c>
    </row>
    <row r="94" spans="1:20" s="69" customFormat="1" ht="21" x14ac:dyDescent="0.55000000000000004">
      <c r="A94" s="76"/>
      <c r="B94" s="102">
        <v>1158</v>
      </c>
      <c r="C94" s="102">
        <v>1158</v>
      </c>
      <c r="D94" s="77" t="s">
        <v>489</v>
      </c>
      <c r="E94" s="78" t="e">
        <f>VLOOKUP($B94,'اداری 1'!C:AB,4,0)</f>
        <v>#N/A</v>
      </c>
      <c r="F94" s="78" t="e">
        <f>VLOOKUP($B94,'اداری 1'!$C:$AA,13,0)</f>
        <v>#N/A</v>
      </c>
      <c r="G94" s="78" t="e">
        <f>VLOOKUP($B94,'اداری 1'!$C:$AA,13,0)</f>
        <v>#N/A</v>
      </c>
      <c r="H94" s="78" t="e">
        <f>VLOOKUP($B94,'اداری 1'!$C:$AA,20,0)</f>
        <v>#N/A</v>
      </c>
      <c r="I94" s="66">
        <v>0</v>
      </c>
      <c r="J94" s="78" t="e">
        <f>IF(VLOOKUP($B94,'اداری 1'!$C:$AA,21,0)="",0,VLOOKUP($B94,'اداری 1'!$C:$AA,21,0))</f>
        <v>#N/A</v>
      </c>
      <c r="K94" s="78">
        <v>0</v>
      </c>
      <c r="L94" s="78">
        <v>0</v>
      </c>
      <c r="M94" s="78">
        <v>0</v>
      </c>
      <c r="N94" s="78" t="e">
        <f>IF(VLOOKUP($B94,'اداری 1'!$C:$AA,17,0)="",0,VLOOKUP($B94,'اداری 1'!$C:$AA,17,0))</f>
        <v>#N/A</v>
      </c>
      <c r="O94" s="67">
        <v>0</v>
      </c>
      <c r="P94" s="68" t="e">
        <f t="shared" si="8"/>
        <v>#N/A</v>
      </c>
      <c r="Q94" s="155" t="e">
        <f t="shared" si="9"/>
        <v>#N/A</v>
      </c>
      <c r="R94" s="68" t="e">
        <f t="shared" si="10"/>
        <v>#N/A</v>
      </c>
      <c r="S94" s="68" t="e">
        <f t="shared" si="11"/>
        <v>#N/A</v>
      </c>
      <c r="T94" s="107" t="e">
        <f>VLOOKUP(C94,'خلاصه عملکرد'!D:E,1,0)</f>
        <v>#N/A</v>
      </c>
    </row>
    <row r="95" spans="1:20" s="69" customFormat="1" ht="21" x14ac:dyDescent="0.55000000000000004">
      <c r="A95" s="76"/>
      <c r="B95" s="102">
        <v>1159</v>
      </c>
      <c r="C95" s="102">
        <v>1159</v>
      </c>
      <c r="D95" s="77" t="s">
        <v>494</v>
      </c>
      <c r="E95" s="78" t="e">
        <f>VLOOKUP($B95,'اداری 1'!C:AB,4,0)</f>
        <v>#N/A</v>
      </c>
      <c r="F95" s="78" t="e">
        <f>VLOOKUP($B95,'اداری 1'!$C:$AA,13,0)</f>
        <v>#N/A</v>
      </c>
      <c r="G95" s="78" t="e">
        <f>VLOOKUP($B95,'اداری 1'!$C:$AA,13,0)</f>
        <v>#N/A</v>
      </c>
      <c r="H95" s="78" t="e">
        <f>VLOOKUP($B95,'اداری 1'!$C:$AA,20,0)</f>
        <v>#N/A</v>
      </c>
      <c r="I95" s="66">
        <v>0</v>
      </c>
      <c r="J95" s="78" t="e">
        <f>IF(VLOOKUP($B95,'اداری 1'!$C:$AA,21,0)="",0,VLOOKUP($B95,'اداری 1'!$C:$AA,21,0))</f>
        <v>#N/A</v>
      </c>
      <c r="K95" s="78">
        <v>0</v>
      </c>
      <c r="L95" s="78">
        <v>0</v>
      </c>
      <c r="M95" s="78">
        <v>0</v>
      </c>
      <c r="N95" s="78" t="e">
        <f>IF(VLOOKUP($B95,'اداری 1'!$C:$AA,17,0)="",0,VLOOKUP($B95,'اداری 1'!$C:$AA,17,0))</f>
        <v>#N/A</v>
      </c>
      <c r="O95" s="67">
        <v>0</v>
      </c>
      <c r="P95" s="68" t="e">
        <f t="shared" si="8"/>
        <v>#N/A</v>
      </c>
      <c r="Q95" s="155" t="e">
        <f t="shared" si="9"/>
        <v>#N/A</v>
      </c>
      <c r="R95" s="68" t="e">
        <f t="shared" si="10"/>
        <v>#N/A</v>
      </c>
      <c r="S95" s="68" t="e">
        <f t="shared" si="11"/>
        <v>#N/A</v>
      </c>
      <c r="T95" s="107">
        <f>VLOOKUP(C95,'خلاصه عملکرد'!D:E,1,0)</f>
        <v>1159</v>
      </c>
    </row>
    <row r="96" spans="1:20" s="69" customFormat="1" ht="21" x14ac:dyDescent="0.55000000000000004">
      <c r="A96" s="76"/>
      <c r="B96" s="102">
        <v>1160</v>
      </c>
      <c r="C96" s="102">
        <v>1160</v>
      </c>
      <c r="D96" s="77" t="s">
        <v>495</v>
      </c>
      <c r="E96" s="78" t="e">
        <f>VLOOKUP($B96,'اداری 1'!C:AB,4,0)</f>
        <v>#N/A</v>
      </c>
      <c r="F96" s="78" t="e">
        <f>VLOOKUP($B96,'اداری 1'!$C:$AA,13,0)</f>
        <v>#N/A</v>
      </c>
      <c r="G96" s="78" t="e">
        <f>VLOOKUP($B96,'اداری 1'!$C:$AA,13,0)</f>
        <v>#N/A</v>
      </c>
      <c r="H96" s="78" t="e">
        <f>VLOOKUP($B96,'اداری 1'!$C:$AA,20,0)</f>
        <v>#N/A</v>
      </c>
      <c r="I96" s="66">
        <v>0</v>
      </c>
      <c r="J96" s="78" t="e">
        <f>IF(VLOOKUP($B96,'اداری 1'!$C:$AA,21,0)="",0,VLOOKUP($B96,'اداری 1'!$C:$AA,21,0))</f>
        <v>#N/A</v>
      </c>
      <c r="K96" s="78">
        <v>0</v>
      </c>
      <c r="L96" s="78">
        <v>0</v>
      </c>
      <c r="M96" s="78">
        <v>0</v>
      </c>
      <c r="N96" s="78" t="e">
        <f>IF(VLOOKUP($B96,'اداری 1'!$C:$AA,17,0)="",0,VLOOKUP($B96,'اداری 1'!$C:$AA,17,0))</f>
        <v>#N/A</v>
      </c>
      <c r="O96" s="67">
        <v>0</v>
      </c>
      <c r="P96" s="68" t="e">
        <f t="shared" si="8"/>
        <v>#N/A</v>
      </c>
      <c r="Q96" s="155" t="e">
        <f t="shared" si="9"/>
        <v>#N/A</v>
      </c>
      <c r="R96" s="68" t="e">
        <f t="shared" si="10"/>
        <v>#N/A</v>
      </c>
      <c r="S96" s="68" t="e">
        <f t="shared" si="11"/>
        <v>#N/A</v>
      </c>
      <c r="T96" s="107">
        <f>VLOOKUP(C96,'خلاصه عملکرد'!D:E,1,0)</f>
        <v>1160</v>
      </c>
    </row>
    <row r="97" spans="1:20" s="69" customFormat="1" ht="21" x14ac:dyDescent="0.55000000000000004">
      <c r="A97" s="76"/>
      <c r="B97" s="102">
        <v>1161</v>
      </c>
      <c r="C97" s="102">
        <v>1161</v>
      </c>
      <c r="D97" s="77" t="s">
        <v>496</v>
      </c>
      <c r="E97" s="78" t="e">
        <f>VLOOKUP($B97,'اداری 1'!C:AB,4,0)</f>
        <v>#N/A</v>
      </c>
      <c r="F97" s="78" t="e">
        <f>VLOOKUP($B97,'اداری 1'!$C:$AA,13,0)</f>
        <v>#N/A</v>
      </c>
      <c r="G97" s="78" t="e">
        <f>VLOOKUP($B97,'اداری 1'!$C:$AA,13,0)</f>
        <v>#N/A</v>
      </c>
      <c r="H97" s="78" t="e">
        <f>VLOOKUP($B97,'اداری 1'!$C:$AA,20,0)</f>
        <v>#N/A</v>
      </c>
      <c r="I97" s="66">
        <v>0</v>
      </c>
      <c r="J97" s="78" t="e">
        <f>IF(VLOOKUP($B97,'اداری 1'!$C:$AA,21,0)="",0,VLOOKUP($B97,'اداری 1'!$C:$AA,21,0))</f>
        <v>#N/A</v>
      </c>
      <c r="K97" s="78">
        <v>0</v>
      </c>
      <c r="L97" s="78">
        <v>0</v>
      </c>
      <c r="M97" s="78">
        <v>0</v>
      </c>
      <c r="N97" s="78" t="e">
        <f>IF(VLOOKUP($B97,'اداری 1'!$C:$AA,17,0)="",0,VLOOKUP($B97,'اداری 1'!$C:$AA,17,0))</f>
        <v>#N/A</v>
      </c>
      <c r="O97" s="67">
        <v>0</v>
      </c>
      <c r="P97" s="68" t="e">
        <f t="shared" si="8"/>
        <v>#N/A</v>
      </c>
      <c r="Q97" s="155" t="e">
        <f t="shared" si="9"/>
        <v>#N/A</v>
      </c>
      <c r="R97" s="68" t="e">
        <f t="shared" si="10"/>
        <v>#N/A</v>
      </c>
      <c r="S97" s="68" t="e">
        <f t="shared" si="11"/>
        <v>#N/A</v>
      </c>
      <c r="T97" s="107">
        <f>VLOOKUP(C97,'خلاصه عملکرد'!D:E,1,0)</f>
        <v>1161</v>
      </c>
    </row>
    <row r="98" spans="1:20" s="69" customFormat="1" ht="21" x14ac:dyDescent="0.55000000000000004">
      <c r="A98" s="76"/>
      <c r="B98" s="102">
        <v>1163</v>
      </c>
      <c r="C98" s="102">
        <v>1163</v>
      </c>
      <c r="D98" s="77" t="s">
        <v>498</v>
      </c>
      <c r="E98" s="78" t="e">
        <f>VLOOKUP($B98,'اداری 1'!C:AB,4,0)</f>
        <v>#N/A</v>
      </c>
      <c r="F98" s="78" t="e">
        <f>VLOOKUP($B98,'اداری 1'!$C:$AA,13,0)</f>
        <v>#N/A</v>
      </c>
      <c r="G98" s="78" t="e">
        <f>VLOOKUP($B98,'اداری 1'!$C:$AA,13,0)</f>
        <v>#N/A</v>
      </c>
      <c r="H98" s="78" t="e">
        <f>VLOOKUP($B98,'اداری 1'!$C:$AA,20,0)</f>
        <v>#N/A</v>
      </c>
      <c r="I98" s="66">
        <v>0</v>
      </c>
      <c r="J98" s="78" t="e">
        <f>IF(VLOOKUP($B98,'اداری 1'!$C:$AA,21,0)="",0,VLOOKUP($B98,'اداری 1'!$C:$AA,21,0))</f>
        <v>#N/A</v>
      </c>
      <c r="K98" s="78">
        <v>0</v>
      </c>
      <c r="L98" s="78">
        <v>0</v>
      </c>
      <c r="M98" s="78">
        <v>0</v>
      </c>
      <c r="N98" s="78" t="e">
        <f>IF(VLOOKUP($B98,'اداری 1'!$C:$AA,17,0)="",0,VLOOKUP($B98,'اداری 1'!$C:$AA,17,0))</f>
        <v>#N/A</v>
      </c>
      <c r="O98" s="67">
        <v>0</v>
      </c>
      <c r="P98" s="68" t="e">
        <f t="shared" si="8"/>
        <v>#N/A</v>
      </c>
      <c r="Q98" s="155" t="e">
        <f t="shared" si="9"/>
        <v>#N/A</v>
      </c>
      <c r="R98" s="68" t="e">
        <f t="shared" si="10"/>
        <v>#N/A</v>
      </c>
      <c r="S98" s="68" t="e">
        <f t="shared" si="11"/>
        <v>#N/A</v>
      </c>
      <c r="T98" s="107">
        <f>VLOOKUP(C98,'خلاصه عملکرد'!D:E,1,0)</f>
        <v>1163</v>
      </c>
    </row>
    <row r="99" spans="1:20" s="69" customFormat="1" ht="21" x14ac:dyDescent="0.55000000000000004">
      <c r="A99" s="76"/>
      <c r="B99" s="102">
        <v>1165</v>
      </c>
      <c r="C99" s="102">
        <v>1165</v>
      </c>
      <c r="D99" s="77" t="s">
        <v>499</v>
      </c>
      <c r="E99" s="78" t="e">
        <f>VLOOKUP($B99,'اداری 1'!C:AB,4,0)</f>
        <v>#N/A</v>
      </c>
      <c r="F99" s="78" t="e">
        <f>VLOOKUP($B99,'اداری 1'!$C:$AA,13,0)</f>
        <v>#N/A</v>
      </c>
      <c r="G99" s="78" t="e">
        <f>VLOOKUP($B99,'اداری 1'!$C:$AA,13,0)</f>
        <v>#N/A</v>
      </c>
      <c r="H99" s="78" t="e">
        <f>VLOOKUP($B99,'اداری 1'!$C:$AA,20,0)</f>
        <v>#N/A</v>
      </c>
      <c r="I99" s="66">
        <v>0</v>
      </c>
      <c r="J99" s="78" t="e">
        <f>IF(VLOOKUP($B99,'اداری 1'!$C:$AA,21,0)="",0,VLOOKUP($B99,'اداری 1'!$C:$AA,21,0))</f>
        <v>#N/A</v>
      </c>
      <c r="K99" s="78">
        <v>0</v>
      </c>
      <c r="L99" s="78">
        <v>0</v>
      </c>
      <c r="M99" s="78">
        <v>0</v>
      </c>
      <c r="N99" s="78" t="e">
        <f>IF(VLOOKUP($B99,'اداری 1'!$C:$AA,17,0)="",0,VLOOKUP($B99,'اداری 1'!$C:$AA,17,0))</f>
        <v>#N/A</v>
      </c>
      <c r="O99" s="67">
        <v>0</v>
      </c>
      <c r="P99" s="68" t="e">
        <f t="shared" si="8"/>
        <v>#N/A</v>
      </c>
      <c r="Q99" s="155" t="e">
        <f t="shared" si="9"/>
        <v>#N/A</v>
      </c>
      <c r="R99" s="68" t="e">
        <f t="shared" si="10"/>
        <v>#N/A</v>
      </c>
      <c r="S99" s="68" t="e">
        <f t="shared" si="11"/>
        <v>#N/A</v>
      </c>
      <c r="T99" s="107">
        <f>VLOOKUP(C99,'خلاصه عملکرد'!D:E,1,0)</f>
        <v>1165</v>
      </c>
    </row>
    <row r="100" spans="1:20" s="69" customFormat="1" ht="21" x14ac:dyDescent="0.55000000000000004">
      <c r="A100" s="76"/>
      <c r="B100" s="102">
        <v>1166</v>
      </c>
      <c r="C100" s="102">
        <v>1166</v>
      </c>
      <c r="D100" s="77" t="s">
        <v>500</v>
      </c>
      <c r="E100" s="78" t="e">
        <f>VLOOKUP($B100,'اداری 1'!C:AB,4,0)</f>
        <v>#N/A</v>
      </c>
      <c r="F100" s="78" t="e">
        <f>VLOOKUP($B100,'اداری 1'!$C:$AA,13,0)</f>
        <v>#N/A</v>
      </c>
      <c r="G100" s="78" t="e">
        <f>VLOOKUP($B100,'اداری 1'!$C:$AA,13,0)</f>
        <v>#N/A</v>
      </c>
      <c r="H100" s="78" t="e">
        <f>VLOOKUP($B100,'اداری 1'!$C:$AA,20,0)</f>
        <v>#N/A</v>
      </c>
      <c r="I100" s="66">
        <v>0</v>
      </c>
      <c r="J100" s="78" t="e">
        <f>IF(VLOOKUP($B100,'اداری 1'!$C:$AA,21,0)="",0,VLOOKUP($B100,'اداری 1'!$C:$AA,21,0))</f>
        <v>#N/A</v>
      </c>
      <c r="K100" s="78">
        <v>0</v>
      </c>
      <c r="L100" s="78">
        <v>0</v>
      </c>
      <c r="M100" s="78">
        <v>0</v>
      </c>
      <c r="N100" s="78" t="e">
        <f>IF(VLOOKUP($B100,'اداری 1'!$C:$AA,17,0)="",0,VLOOKUP($B100,'اداری 1'!$C:$AA,17,0))</f>
        <v>#N/A</v>
      </c>
      <c r="O100" s="67">
        <v>0</v>
      </c>
      <c r="P100" s="68" t="e">
        <f t="shared" ref="P100:P106" si="12">DAY(F100)*24+HOUR(F100)</f>
        <v>#N/A</v>
      </c>
      <c r="Q100" s="155" t="e">
        <f t="shared" ref="Q100:Q106" si="13">MINUTE(F100)</f>
        <v>#N/A</v>
      </c>
      <c r="R100" s="68" t="e">
        <f t="shared" ref="R100:R106" si="14">DAY(H100)*24+HOUR(H100)</f>
        <v>#N/A</v>
      </c>
      <c r="S100" s="68" t="e">
        <f t="shared" ref="S100:S106" si="15">MINUTE(H100)</f>
        <v>#N/A</v>
      </c>
      <c r="T100" s="107">
        <f>VLOOKUP(C100,'خلاصه عملکرد'!D:E,1,0)</f>
        <v>1166</v>
      </c>
    </row>
    <row r="101" spans="1:20" s="69" customFormat="1" ht="21" x14ac:dyDescent="0.55000000000000004">
      <c r="A101" s="76"/>
      <c r="B101" s="102">
        <v>1168</v>
      </c>
      <c r="C101" s="102">
        <v>1168</v>
      </c>
      <c r="D101" s="77" t="s">
        <v>501</v>
      </c>
      <c r="E101" s="78" t="e">
        <f>VLOOKUP($B101,'اداری 1'!C:AB,4,0)</f>
        <v>#N/A</v>
      </c>
      <c r="F101" s="78" t="e">
        <f>VLOOKUP($B101,'اداری 1'!$C:$AA,13,0)</f>
        <v>#N/A</v>
      </c>
      <c r="G101" s="78" t="e">
        <f>VLOOKUP($B101,'اداری 1'!$C:$AA,13,0)</f>
        <v>#N/A</v>
      </c>
      <c r="H101" s="78" t="e">
        <f>VLOOKUP($B101,'اداری 1'!$C:$AA,20,0)</f>
        <v>#N/A</v>
      </c>
      <c r="I101" s="66">
        <v>0</v>
      </c>
      <c r="J101" s="78" t="e">
        <f>IF(VLOOKUP($B101,'اداری 1'!$C:$AA,21,0)="",0,VLOOKUP($B101,'اداری 1'!$C:$AA,21,0))</f>
        <v>#N/A</v>
      </c>
      <c r="K101" s="78">
        <v>0</v>
      </c>
      <c r="L101" s="78">
        <v>0</v>
      </c>
      <c r="M101" s="78">
        <v>0</v>
      </c>
      <c r="N101" s="78" t="e">
        <f>IF(VLOOKUP($B101,'اداری 1'!$C:$AA,17,0)="",0,VLOOKUP($B101,'اداری 1'!$C:$AA,17,0))</f>
        <v>#N/A</v>
      </c>
      <c r="O101" s="67">
        <v>0</v>
      </c>
      <c r="P101" s="68" t="e">
        <f t="shared" si="12"/>
        <v>#N/A</v>
      </c>
      <c r="Q101" s="155" t="e">
        <f t="shared" si="13"/>
        <v>#N/A</v>
      </c>
      <c r="R101" s="68" t="e">
        <f t="shared" si="14"/>
        <v>#N/A</v>
      </c>
      <c r="S101" s="68" t="e">
        <f t="shared" si="15"/>
        <v>#N/A</v>
      </c>
      <c r="T101" s="107">
        <f>VLOOKUP(C101,'خلاصه عملکرد'!D:E,1,0)</f>
        <v>1168</v>
      </c>
    </row>
    <row r="102" spans="1:20" s="69" customFormat="1" ht="21" x14ac:dyDescent="0.55000000000000004">
      <c r="A102" s="76"/>
      <c r="B102" s="102">
        <v>1173</v>
      </c>
      <c r="C102" s="102">
        <v>1173</v>
      </c>
      <c r="D102" s="77" t="s">
        <v>540</v>
      </c>
      <c r="E102" s="78" t="e">
        <f>VLOOKUP($B102,'اداری 1'!C:AB,4,0)</f>
        <v>#N/A</v>
      </c>
      <c r="F102" s="78" t="e">
        <f>VLOOKUP($B102,'اداری 1'!$C:$AA,13,0)</f>
        <v>#N/A</v>
      </c>
      <c r="G102" s="78" t="e">
        <f>VLOOKUP($B102,'اداری 1'!$C:$AA,13,0)</f>
        <v>#N/A</v>
      </c>
      <c r="H102" s="78" t="e">
        <f>VLOOKUP($B102,'اداری 1'!$C:$AA,20,0)</f>
        <v>#N/A</v>
      </c>
      <c r="I102" s="66">
        <v>0</v>
      </c>
      <c r="J102" s="78" t="e">
        <f>IF(VLOOKUP($B102,'اداری 1'!$C:$AA,21,0)="",0,VLOOKUP($B102,'اداری 1'!$C:$AA,21,0))</f>
        <v>#N/A</v>
      </c>
      <c r="K102" s="78">
        <v>0</v>
      </c>
      <c r="L102" s="78">
        <v>0</v>
      </c>
      <c r="M102" s="78">
        <v>0</v>
      </c>
      <c r="N102" s="78" t="e">
        <f>IF(VLOOKUP($B102,'اداری 1'!$C:$AA,17,0)="",0,VLOOKUP($B102,'اداری 1'!$C:$AA,17,0))</f>
        <v>#N/A</v>
      </c>
      <c r="O102" s="67">
        <v>0</v>
      </c>
      <c r="P102" s="68" t="e">
        <f t="shared" si="12"/>
        <v>#N/A</v>
      </c>
      <c r="Q102" s="155" t="e">
        <f t="shared" si="13"/>
        <v>#N/A</v>
      </c>
      <c r="R102" s="68" t="e">
        <f t="shared" si="14"/>
        <v>#N/A</v>
      </c>
      <c r="S102" s="68" t="e">
        <f t="shared" si="15"/>
        <v>#N/A</v>
      </c>
      <c r="T102" s="107">
        <f>VLOOKUP(C102,'خلاصه عملکرد'!D:E,1,0)</f>
        <v>1173</v>
      </c>
    </row>
    <row r="103" spans="1:20" s="69" customFormat="1" ht="21" x14ac:dyDescent="0.55000000000000004">
      <c r="A103" s="76"/>
      <c r="B103" s="102">
        <v>1180</v>
      </c>
      <c r="C103" s="102">
        <v>1180</v>
      </c>
      <c r="D103" s="77" t="s">
        <v>541</v>
      </c>
      <c r="E103" s="78" t="e">
        <f>VLOOKUP($B103,'اداری 1'!C:AB,4,0)</f>
        <v>#N/A</v>
      </c>
      <c r="F103" s="78" t="e">
        <f>VLOOKUP($B103,'اداری 1'!$C:$AA,13,0)</f>
        <v>#N/A</v>
      </c>
      <c r="G103" s="78" t="e">
        <f>VLOOKUP($B103,'اداری 1'!$C:$AA,13,0)</f>
        <v>#N/A</v>
      </c>
      <c r="H103" s="78" t="e">
        <f>VLOOKUP($B103,'اداری 1'!$C:$AA,20,0)</f>
        <v>#N/A</v>
      </c>
      <c r="I103" s="66">
        <v>0</v>
      </c>
      <c r="J103" s="78" t="e">
        <f>IF(VLOOKUP($B103,'اداری 1'!$C:$AA,21,0)="",0,VLOOKUP($B103,'اداری 1'!$C:$AA,21,0))</f>
        <v>#N/A</v>
      </c>
      <c r="K103" s="78">
        <v>0</v>
      </c>
      <c r="L103" s="78">
        <v>0</v>
      </c>
      <c r="M103" s="78">
        <v>0</v>
      </c>
      <c r="N103" s="78" t="e">
        <f>IF(VLOOKUP($B103,'اداری 1'!$C:$AA,17,0)="",0,VLOOKUP($B103,'اداری 1'!$C:$AA,17,0))</f>
        <v>#N/A</v>
      </c>
      <c r="O103" s="67">
        <v>0</v>
      </c>
      <c r="P103" s="68" t="e">
        <f t="shared" si="12"/>
        <v>#N/A</v>
      </c>
      <c r="Q103" s="155" t="e">
        <f t="shared" si="13"/>
        <v>#N/A</v>
      </c>
      <c r="R103" s="68" t="e">
        <f t="shared" si="14"/>
        <v>#N/A</v>
      </c>
      <c r="S103" s="68" t="e">
        <f t="shared" si="15"/>
        <v>#N/A</v>
      </c>
      <c r="T103" s="107">
        <f>VLOOKUP(C103,'خلاصه عملکرد'!D:E,1,0)</f>
        <v>1180</v>
      </c>
    </row>
    <row r="104" spans="1:20" s="69" customFormat="1" ht="21" x14ac:dyDescent="0.55000000000000004">
      <c r="A104" s="76"/>
      <c r="B104" s="102">
        <v>1185</v>
      </c>
      <c r="C104" s="102">
        <v>1185</v>
      </c>
      <c r="D104" s="77" t="s">
        <v>543</v>
      </c>
      <c r="E104" s="78" t="e">
        <f>VLOOKUP($B104,'اداری 1'!C:AB,4,0)</f>
        <v>#N/A</v>
      </c>
      <c r="F104" s="78" t="e">
        <f>VLOOKUP($B104,'اداری 1'!$C:$AA,13,0)</f>
        <v>#N/A</v>
      </c>
      <c r="G104" s="78" t="e">
        <f>VLOOKUP($B104,'اداری 1'!$C:$AA,13,0)</f>
        <v>#N/A</v>
      </c>
      <c r="H104" s="78" t="e">
        <f>VLOOKUP($B104,'اداری 1'!$C:$AA,20,0)</f>
        <v>#N/A</v>
      </c>
      <c r="I104" s="66">
        <v>0</v>
      </c>
      <c r="J104" s="78" t="e">
        <f>IF(VLOOKUP($B104,'اداری 1'!$C:$AA,21,0)="",0,VLOOKUP($B104,'اداری 1'!$C:$AA,21,0))</f>
        <v>#N/A</v>
      </c>
      <c r="K104" s="78">
        <v>0</v>
      </c>
      <c r="L104" s="78">
        <v>0</v>
      </c>
      <c r="M104" s="78">
        <v>0</v>
      </c>
      <c r="N104" s="78" t="e">
        <f>IF(VLOOKUP($B104,'اداری 1'!$C:$AA,17,0)="",0,VLOOKUP($B104,'اداری 1'!$C:$AA,17,0))</f>
        <v>#N/A</v>
      </c>
      <c r="O104" s="67">
        <v>0</v>
      </c>
      <c r="P104" s="68" t="e">
        <f t="shared" si="12"/>
        <v>#N/A</v>
      </c>
      <c r="Q104" s="155" t="e">
        <f t="shared" si="13"/>
        <v>#N/A</v>
      </c>
      <c r="R104" s="68" t="e">
        <f t="shared" si="14"/>
        <v>#N/A</v>
      </c>
      <c r="S104" s="68" t="e">
        <f t="shared" si="15"/>
        <v>#N/A</v>
      </c>
      <c r="T104" s="107">
        <f>VLOOKUP(C104,'خلاصه عملکرد'!D:E,1,0)</f>
        <v>1185</v>
      </c>
    </row>
    <row r="105" spans="1:20" s="69" customFormat="1" ht="21" x14ac:dyDescent="0.55000000000000004">
      <c r="A105" s="76"/>
      <c r="B105" s="102">
        <v>1187</v>
      </c>
      <c r="C105" s="102">
        <v>1187</v>
      </c>
      <c r="D105" s="77" t="s">
        <v>544</v>
      </c>
      <c r="E105" s="78" t="e">
        <f>VLOOKUP($B105,'اداری 1'!C:AB,4,0)</f>
        <v>#N/A</v>
      </c>
      <c r="F105" s="78" t="e">
        <f>VLOOKUP($B105,'اداری 1'!$C:$AA,13,0)</f>
        <v>#N/A</v>
      </c>
      <c r="G105" s="78" t="e">
        <f>VLOOKUP($B105,'اداری 1'!$C:$AA,13,0)</f>
        <v>#N/A</v>
      </c>
      <c r="H105" s="78" t="e">
        <f>VLOOKUP($B105,'اداری 1'!$C:$AA,20,0)</f>
        <v>#N/A</v>
      </c>
      <c r="I105" s="66">
        <v>0</v>
      </c>
      <c r="J105" s="78" t="e">
        <f>IF(VLOOKUP($B105,'اداری 1'!$C:$AA,21,0)="",0,VLOOKUP($B105,'اداری 1'!$C:$AA,21,0))</f>
        <v>#N/A</v>
      </c>
      <c r="K105" s="78">
        <v>0</v>
      </c>
      <c r="L105" s="78">
        <v>0</v>
      </c>
      <c r="M105" s="78">
        <v>0</v>
      </c>
      <c r="N105" s="78" t="e">
        <f>IF(VLOOKUP($B105,'اداری 1'!$C:$AA,17,0)="",0,VLOOKUP($B105,'اداری 1'!$C:$AA,17,0))</f>
        <v>#N/A</v>
      </c>
      <c r="O105" s="67">
        <v>0</v>
      </c>
      <c r="P105" s="68" t="e">
        <f t="shared" si="12"/>
        <v>#N/A</v>
      </c>
      <c r="Q105" s="155" t="e">
        <f t="shared" si="13"/>
        <v>#N/A</v>
      </c>
      <c r="R105" s="68" t="e">
        <f t="shared" si="14"/>
        <v>#N/A</v>
      </c>
      <c r="S105" s="68" t="e">
        <f t="shared" si="15"/>
        <v>#N/A</v>
      </c>
      <c r="T105" s="107">
        <f>VLOOKUP(C105,'خلاصه عملکرد'!D:E,1,0)</f>
        <v>1187</v>
      </c>
    </row>
    <row r="106" spans="1:20" s="69" customFormat="1" ht="21" x14ac:dyDescent="0.55000000000000004">
      <c r="A106" s="76"/>
      <c r="B106" s="102">
        <v>1162</v>
      </c>
      <c r="C106" s="102">
        <v>1162</v>
      </c>
      <c r="D106" s="77" t="s">
        <v>497</v>
      </c>
      <c r="E106" s="78" t="e">
        <f>VLOOKUP($B106,'اداری 1'!C:AB,4,0)</f>
        <v>#N/A</v>
      </c>
      <c r="F106" s="78" t="e">
        <f>VLOOKUP($B106,'اداری 1'!$C:$AA,13,0)</f>
        <v>#N/A</v>
      </c>
      <c r="G106" s="78" t="e">
        <f>VLOOKUP($B106,'اداری 1'!$C:$AA,13,0)</f>
        <v>#N/A</v>
      </c>
      <c r="H106" s="78" t="e">
        <f>VLOOKUP($B106,'اداری 1'!$C:$AA,20,0)</f>
        <v>#N/A</v>
      </c>
      <c r="I106" s="66">
        <v>0</v>
      </c>
      <c r="J106" s="78" t="e">
        <f>IF(VLOOKUP($B106,'اداری 1'!$C:$AA,21,0)="",0,VLOOKUP($B106,'اداری 1'!$C:$AA,21,0))</f>
        <v>#N/A</v>
      </c>
      <c r="K106" s="78">
        <v>0</v>
      </c>
      <c r="L106" s="78">
        <v>0</v>
      </c>
      <c r="M106" s="78">
        <v>0</v>
      </c>
      <c r="N106" s="78" t="e">
        <f>IF(VLOOKUP($B106,'اداری 1'!$C:$AA,17,0)="",0,VLOOKUP($B106,'اداری 1'!$C:$AA,17,0))</f>
        <v>#N/A</v>
      </c>
      <c r="O106" s="67">
        <v>0</v>
      </c>
      <c r="P106" s="68" t="e">
        <f t="shared" si="12"/>
        <v>#N/A</v>
      </c>
      <c r="Q106" s="155" t="e">
        <f t="shared" si="13"/>
        <v>#N/A</v>
      </c>
      <c r="R106" s="68" t="e">
        <f t="shared" si="14"/>
        <v>#N/A</v>
      </c>
      <c r="S106" s="68" t="e">
        <f t="shared" si="15"/>
        <v>#N/A</v>
      </c>
      <c r="T106" s="107" t="e">
        <f>VLOOKUP(C106,'خلاصه عملکرد'!D:E,1,0)</f>
        <v>#N/A</v>
      </c>
    </row>
  </sheetData>
  <autoFilter ref="A3:T106" xr:uid="{00000000-0001-0000-0200-000000000000}">
    <sortState xmlns:xlrd2="http://schemas.microsoft.com/office/spreadsheetml/2017/richdata2" ref="A4:T106">
      <sortCondition ref="E3:E106"/>
    </sortState>
  </autoFilter>
  <phoneticPr fontId="39" type="noConversion"/>
  <conditionalFormatting sqref="C4:C106">
    <cfRule type="duplicateValues" dxfId="0" priority="1212"/>
  </conditionalFormatting>
  <pageMargins left="0.70866141732283472" right="0.70866141732283472" top="0.74803149606299213" bottom="0.74803149606299213" header="0.31496062992125984" footer="0.31496062992125984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2DAB36-1D39-4C71-9317-2C8511EB4874}">
  <dimension ref="A1:AD7"/>
  <sheetViews>
    <sheetView rightToLeft="1" tabSelected="1" workbookViewId="0">
      <pane xSplit="5" ySplit="7" topLeftCell="F8" activePane="bottomRight" state="frozen"/>
      <selection pane="topRight" activeCell="F1" sqref="F1"/>
      <selection pane="bottomLeft" activeCell="A8" sqref="A8"/>
      <selection pane="bottomRight" activeCell="E9" sqref="E9"/>
    </sheetView>
  </sheetViews>
  <sheetFormatPr defaultRowHeight="15" x14ac:dyDescent="0.25"/>
  <cols>
    <col min="1" max="4" width="7" style="63" customWidth="1"/>
    <col min="5" max="5" width="18.5703125" style="63" customWidth="1"/>
    <col min="6" max="25" width="7" style="63" customWidth="1"/>
    <col min="26" max="26" width="11" style="63" customWidth="1"/>
    <col min="27" max="30" width="7" style="63" customWidth="1"/>
    <col min="31" max="256" width="9.140625" style="141"/>
    <col min="257" max="257" width="13.7109375" style="141" customWidth="1"/>
    <col min="258" max="258" width="0.5703125" style="141" customWidth="1"/>
    <col min="259" max="279" width="4.5703125" style="141" customWidth="1"/>
    <col min="280" max="280" width="17.7109375" style="141" customWidth="1"/>
    <col min="281" max="281" width="7.5703125" style="141" customWidth="1"/>
    <col min="282" max="282" width="1" style="141" customWidth="1"/>
    <col min="283" max="283" width="6.5703125" style="141" customWidth="1"/>
    <col min="284" max="284" width="7.5703125" style="141" customWidth="1"/>
    <col min="285" max="512" width="9.140625" style="141"/>
    <col min="513" max="513" width="13.7109375" style="141" customWidth="1"/>
    <col min="514" max="514" width="0.5703125" style="141" customWidth="1"/>
    <col min="515" max="535" width="4.5703125" style="141" customWidth="1"/>
    <col min="536" max="536" width="17.7109375" style="141" customWidth="1"/>
    <col min="537" max="537" width="7.5703125" style="141" customWidth="1"/>
    <col min="538" max="538" width="1" style="141" customWidth="1"/>
    <col min="539" max="539" width="6.5703125" style="141" customWidth="1"/>
    <col min="540" max="540" width="7.5703125" style="141" customWidth="1"/>
    <col min="541" max="768" width="9.140625" style="141"/>
    <col min="769" max="769" width="13.7109375" style="141" customWidth="1"/>
    <col min="770" max="770" width="0.5703125" style="141" customWidth="1"/>
    <col min="771" max="791" width="4.5703125" style="141" customWidth="1"/>
    <col min="792" max="792" width="17.7109375" style="141" customWidth="1"/>
    <col min="793" max="793" width="7.5703125" style="141" customWidth="1"/>
    <col min="794" max="794" width="1" style="141" customWidth="1"/>
    <col min="795" max="795" width="6.5703125" style="141" customWidth="1"/>
    <col min="796" max="796" width="7.5703125" style="141" customWidth="1"/>
    <col min="797" max="1024" width="9.140625" style="141"/>
    <col min="1025" max="1025" width="13.7109375" style="141" customWidth="1"/>
    <col min="1026" max="1026" width="0.5703125" style="141" customWidth="1"/>
    <col min="1027" max="1047" width="4.5703125" style="141" customWidth="1"/>
    <col min="1048" max="1048" width="17.7109375" style="141" customWidth="1"/>
    <col min="1049" max="1049" width="7.5703125" style="141" customWidth="1"/>
    <col min="1050" max="1050" width="1" style="141" customWidth="1"/>
    <col min="1051" max="1051" width="6.5703125" style="141" customWidth="1"/>
    <col min="1052" max="1052" width="7.5703125" style="141" customWidth="1"/>
    <col min="1053" max="1280" width="9.140625" style="141"/>
    <col min="1281" max="1281" width="13.7109375" style="141" customWidth="1"/>
    <col min="1282" max="1282" width="0.5703125" style="141" customWidth="1"/>
    <col min="1283" max="1303" width="4.5703125" style="141" customWidth="1"/>
    <col min="1304" max="1304" width="17.7109375" style="141" customWidth="1"/>
    <col min="1305" max="1305" width="7.5703125" style="141" customWidth="1"/>
    <col min="1306" max="1306" width="1" style="141" customWidth="1"/>
    <col min="1307" max="1307" width="6.5703125" style="141" customWidth="1"/>
    <col min="1308" max="1308" width="7.5703125" style="141" customWidth="1"/>
    <col min="1309" max="1536" width="9.140625" style="141"/>
    <col min="1537" max="1537" width="13.7109375" style="141" customWidth="1"/>
    <col min="1538" max="1538" width="0.5703125" style="141" customWidth="1"/>
    <col min="1539" max="1559" width="4.5703125" style="141" customWidth="1"/>
    <col min="1560" max="1560" width="17.7109375" style="141" customWidth="1"/>
    <col min="1561" max="1561" width="7.5703125" style="141" customWidth="1"/>
    <col min="1562" max="1562" width="1" style="141" customWidth="1"/>
    <col min="1563" max="1563" width="6.5703125" style="141" customWidth="1"/>
    <col min="1564" max="1564" width="7.5703125" style="141" customWidth="1"/>
    <col min="1565" max="1792" width="9.140625" style="141"/>
    <col min="1793" max="1793" width="13.7109375" style="141" customWidth="1"/>
    <col min="1794" max="1794" width="0.5703125" style="141" customWidth="1"/>
    <col min="1795" max="1815" width="4.5703125" style="141" customWidth="1"/>
    <col min="1816" max="1816" width="17.7109375" style="141" customWidth="1"/>
    <col min="1817" max="1817" width="7.5703125" style="141" customWidth="1"/>
    <col min="1818" max="1818" width="1" style="141" customWidth="1"/>
    <col min="1819" max="1819" width="6.5703125" style="141" customWidth="1"/>
    <col min="1820" max="1820" width="7.5703125" style="141" customWidth="1"/>
    <col min="1821" max="2048" width="9.140625" style="141"/>
    <col min="2049" max="2049" width="13.7109375" style="141" customWidth="1"/>
    <col min="2050" max="2050" width="0.5703125" style="141" customWidth="1"/>
    <col min="2051" max="2071" width="4.5703125" style="141" customWidth="1"/>
    <col min="2072" max="2072" width="17.7109375" style="141" customWidth="1"/>
    <col min="2073" max="2073" width="7.5703125" style="141" customWidth="1"/>
    <col min="2074" max="2074" width="1" style="141" customWidth="1"/>
    <col min="2075" max="2075" width="6.5703125" style="141" customWidth="1"/>
    <col min="2076" max="2076" width="7.5703125" style="141" customWidth="1"/>
    <col min="2077" max="2304" width="9.140625" style="141"/>
    <col min="2305" max="2305" width="13.7109375" style="141" customWidth="1"/>
    <col min="2306" max="2306" width="0.5703125" style="141" customWidth="1"/>
    <col min="2307" max="2327" width="4.5703125" style="141" customWidth="1"/>
    <col min="2328" max="2328" width="17.7109375" style="141" customWidth="1"/>
    <col min="2329" max="2329" width="7.5703125" style="141" customWidth="1"/>
    <col min="2330" max="2330" width="1" style="141" customWidth="1"/>
    <col min="2331" max="2331" width="6.5703125" style="141" customWidth="1"/>
    <col min="2332" max="2332" width="7.5703125" style="141" customWidth="1"/>
    <col min="2333" max="2560" width="9.140625" style="141"/>
    <col min="2561" max="2561" width="13.7109375" style="141" customWidth="1"/>
    <col min="2562" max="2562" width="0.5703125" style="141" customWidth="1"/>
    <col min="2563" max="2583" width="4.5703125" style="141" customWidth="1"/>
    <col min="2584" max="2584" width="17.7109375" style="141" customWidth="1"/>
    <col min="2585" max="2585" width="7.5703125" style="141" customWidth="1"/>
    <col min="2586" max="2586" width="1" style="141" customWidth="1"/>
    <col min="2587" max="2587" width="6.5703125" style="141" customWidth="1"/>
    <col min="2588" max="2588" width="7.5703125" style="141" customWidth="1"/>
    <col min="2589" max="2816" width="9.140625" style="141"/>
    <col min="2817" max="2817" width="13.7109375" style="141" customWidth="1"/>
    <col min="2818" max="2818" width="0.5703125" style="141" customWidth="1"/>
    <col min="2819" max="2839" width="4.5703125" style="141" customWidth="1"/>
    <col min="2840" max="2840" width="17.7109375" style="141" customWidth="1"/>
    <col min="2841" max="2841" width="7.5703125" style="141" customWidth="1"/>
    <col min="2842" max="2842" width="1" style="141" customWidth="1"/>
    <col min="2843" max="2843" width="6.5703125" style="141" customWidth="1"/>
    <col min="2844" max="2844" width="7.5703125" style="141" customWidth="1"/>
    <col min="2845" max="3072" width="9.140625" style="141"/>
    <col min="3073" max="3073" width="13.7109375" style="141" customWidth="1"/>
    <col min="3074" max="3074" width="0.5703125" style="141" customWidth="1"/>
    <col min="3075" max="3095" width="4.5703125" style="141" customWidth="1"/>
    <col min="3096" max="3096" width="17.7109375" style="141" customWidth="1"/>
    <col min="3097" max="3097" width="7.5703125" style="141" customWidth="1"/>
    <col min="3098" max="3098" width="1" style="141" customWidth="1"/>
    <col min="3099" max="3099" width="6.5703125" style="141" customWidth="1"/>
    <col min="3100" max="3100" width="7.5703125" style="141" customWidth="1"/>
    <col min="3101" max="3328" width="9.140625" style="141"/>
    <col min="3329" max="3329" width="13.7109375" style="141" customWidth="1"/>
    <col min="3330" max="3330" width="0.5703125" style="141" customWidth="1"/>
    <col min="3331" max="3351" width="4.5703125" style="141" customWidth="1"/>
    <col min="3352" max="3352" width="17.7109375" style="141" customWidth="1"/>
    <col min="3353" max="3353" width="7.5703125" style="141" customWidth="1"/>
    <col min="3354" max="3354" width="1" style="141" customWidth="1"/>
    <col min="3355" max="3355" width="6.5703125" style="141" customWidth="1"/>
    <col min="3356" max="3356" width="7.5703125" style="141" customWidth="1"/>
    <col min="3357" max="3584" width="9.140625" style="141"/>
    <col min="3585" max="3585" width="13.7109375" style="141" customWidth="1"/>
    <col min="3586" max="3586" width="0.5703125" style="141" customWidth="1"/>
    <col min="3587" max="3607" width="4.5703125" style="141" customWidth="1"/>
    <col min="3608" max="3608" width="17.7109375" style="141" customWidth="1"/>
    <col min="3609" max="3609" width="7.5703125" style="141" customWidth="1"/>
    <col min="3610" max="3610" width="1" style="141" customWidth="1"/>
    <col min="3611" max="3611" width="6.5703125" style="141" customWidth="1"/>
    <col min="3612" max="3612" width="7.5703125" style="141" customWidth="1"/>
    <col min="3613" max="3840" width="9.140625" style="141"/>
    <col min="3841" max="3841" width="13.7109375" style="141" customWidth="1"/>
    <col min="3842" max="3842" width="0.5703125" style="141" customWidth="1"/>
    <col min="3843" max="3863" width="4.5703125" style="141" customWidth="1"/>
    <col min="3864" max="3864" width="17.7109375" style="141" customWidth="1"/>
    <col min="3865" max="3865" width="7.5703125" style="141" customWidth="1"/>
    <col min="3866" max="3866" width="1" style="141" customWidth="1"/>
    <col min="3867" max="3867" width="6.5703125" style="141" customWidth="1"/>
    <col min="3868" max="3868" width="7.5703125" style="141" customWidth="1"/>
    <col min="3869" max="4096" width="9.140625" style="141"/>
    <col min="4097" max="4097" width="13.7109375" style="141" customWidth="1"/>
    <col min="4098" max="4098" width="0.5703125" style="141" customWidth="1"/>
    <col min="4099" max="4119" width="4.5703125" style="141" customWidth="1"/>
    <col min="4120" max="4120" width="17.7109375" style="141" customWidth="1"/>
    <col min="4121" max="4121" width="7.5703125" style="141" customWidth="1"/>
    <col min="4122" max="4122" width="1" style="141" customWidth="1"/>
    <col min="4123" max="4123" width="6.5703125" style="141" customWidth="1"/>
    <col min="4124" max="4124" width="7.5703125" style="141" customWidth="1"/>
    <col min="4125" max="4352" width="9.140625" style="141"/>
    <col min="4353" max="4353" width="13.7109375" style="141" customWidth="1"/>
    <col min="4354" max="4354" width="0.5703125" style="141" customWidth="1"/>
    <col min="4355" max="4375" width="4.5703125" style="141" customWidth="1"/>
    <col min="4376" max="4376" width="17.7109375" style="141" customWidth="1"/>
    <col min="4377" max="4377" width="7.5703125" style="141" customWidth="1"/>
    <col min="4378" max="4378" width="1" style="141" customWidth="1"/>
    <col min="4379" max="4379" width="6.5703125" style="141" customWidth="1"/>
    <col min="4380" max="4380" width="7.5703125" style="141" customWidth="1"/>
    <col min="4381" max="4608" width="9.140625" style="141"/>
    <col min="4609" max="4609" width="13.7109375" style="141" customWidth="1"/>
    <col min="4610" max="4610" width="0.5703125" style="141" customWidth="1"/>
    <col min="4611" max="4631" width="4.5703125" style="141" customWidth="1"/>
    <col min="4632" max="4632" width="17.7109375" style="141" customWidth="1"/>
    <col min="4633" max="4633" width="7.5703125" style="141" customWidth="1"/>
    <col min="4634" max="4634" width="1" style="141" customWidth="1"/>
    <col min="4635" max="4635" width="6.5703125" style="141" customWidth="1"/>
    <col min="4636" max="4636" width="7.5703125" style="141" customWidth="1"/>
    <col min="4637" max="4864" width="9.140625" style="141"/>
    <col min="4865" max="4865" width="13.7109375" style="141" customWidth="1"/>
    <col min="4866" max="4866" width="0.5703125" style="141" customWidth="1"/>
    <col min="4867" max="4887" width="4.5703125" style="141" customWidth="1"/>
    <col min="4888" max="4888" width="17.7109375" style="141" customWidth="1"/>
    <col min="4889" max="4889" width="7.5703125" style="141" customWidth="1"/>
    <col min="4890" max="4890" width="1" style="141" customWidth="1"/>
    <col min="4891" max="4891" width="6.5703125" style="141" customWidth="1"/>
    <col min="4892" max="4892" width="7.5703125" style="141" customWidth="1"/>
    <col min="4893" max="5120" width="9.140625" style="141"/>
    <col min="5121" max="5121" width="13.7109375" style="141" customWidth="1"/>
    <col min="5122" max="5122" width="0.5703125" style="141" customWidth="1"/>
    <col min="5123" max="5143" width="4.5703125" style="141" customWidth="1"/>
    <col min="5144" max="5144" width="17.7109375" style="141" customWidth="1"/>
    <col min="5145" max="5145" width="7.5703125" style="141" customWidth="1"/>
    <col min="5146" max="5146" width="1" style="141" customWidth="1"/>
    <col min="5147" max="5147" width="6.5703125" style="141" customWidth="1"/>
    <col min="5148" max="5148" width="7.5703125" style="141" customWidth="1"/>
    <col min="5149" max="5376" width="9.140625" style="141"/>
    <col min="5377" max="5377" width="13.7109375" style="141" customWidth="1"/>
    <col min="5378" max="5378" width="0.5703125" style="141" customWidth="1"/>
    <col min="5379" max="5399" width="4.5703125" style="141" customWidth="1"/>
    <col min="5400" max="5400" width="17.7109375" style="141" customWidth="1"/>
    <col min="5401" max="5401" width="7.5703125" style="141" customWidth="1"/>
    <col min="5402" max="5402" width="1" style="141" customWidth="1"/>
    <col min="5403" max="5403" width="6.5703125" style="141" customWidth="1"/>
    <col min="5404" max="5404" width="7.5703125" style="141" customWidth="1"/>
    <col min="5405" max="5632" width="9.140625" style="141"/>
    <col min="5633" max="5633" width="13.7109375" style="141" customWidth="1"/>
    <col min="5634" max="5634" width="0.5703125" style="141" customWidth="1"/>
    <col min="5635" max="5655" width="4.5703125" style="141" customWidth="1"/>
    <col min="5656" max="5656" width="17.7109375" style="141" customWidth="1"/>
    <col min="5657" max="5657" width="7.5703125" style="141" customWidth="1"/>
    <col min="5658" max="5658" width="1" style="141" customWidth="1"/>
    <col min="5659" max="5659" width="6.5703125" style="141" customWidth="1"/>
    <col min="5660" max="5660" width="7.5703125" style="141" customWidth="1"/>
    <col min="5661" max="5888" width="9.140625" style="141"/>
    <col min="5889" max="5889" width="13.7109375" style="141" customWidth="1"/>
    <col min="5890" max="5890" width="0.5703125" style="141" customWidth="1"/>
    <col min="5891" max="5911" width="4.5703125" style="141" customWidth="1"/>
    <col min="5912" max="5912" width="17.7109375" style="141" customWidth="1"/>
    <col min="5913" max="5913" width="7.5703125" style="141" customWidth="1"/>
    <col min="5914" max="5914" width="1" style="141" customWidth="1"/>
    <col min="5915" max="5915" width="6.5703125" style="141" customWidth="1"/>
    <col min="5916" max="5916" width="7.5703125" style="141" customWidth="1"/>
    <col min="5917" max="6144" width="9.140625" style="141"/>
    <col min="6145" max="6145" width="13.7109375" style="141" customWidth="1"/>
    <col min="6146" max="6146" width="0.5703125" style="141" customWidth="1"/>
    <col min="6147" max="6167" width="4.5703125" style="141" customWidth="1"/>
    <col min="6168" max="6168" width="17.7109375" style="141" customWidth="1"/>
    <col min="6169" max="6169" width="7.5703125" style="141" customWidth="1"/>
    <col min="6170" max="6170" width="1" style="141" customWidth="1"/>
    <col min="6171" max="6171" width="6.5703125" style="141" customWidth="1"/>
    <col min="6172" max="6172" width="7.5703125" style="141" customWidth="1"/>
    <col min="6173" max="6400" width="9.140625" style="141"/>
    <col min="6401" max="6401" width="13.7109375" style="141" customWidth="1"/>
    <col min="6402" max="6402" width="0.5703125" style="141" customWidth="1"/>
    <col min="6403" max="6423" width="4.5703125" style="141" customWidth="1"/>
    <col min="6424" max="6424" width="17.7109375" style="141" customWidth="1"/>
    <col min="6425" max="6425" width="7.5703125" style="141" customWidth="1"/>
    <col min="6426" max="6426" width="1" style="141" customWidth="1"/>
    <col min="6427" max="6427" width="6.5703125" style="141" customWidth="1"/>
    <col min="6428" max="6428" width="7.5703125" style="141" customWidth="1"/>
    <col min="6429" max="6656" width="9.140625" style="141"/>
    <col min="6657" max="6657" width="13.7109375" style="141" customWidth="1"/>
    <col min="6658" max="6658" width="0.5703125" style="141" customWidth="1"/>
    <col min="6659" max="6679" width="4.5703125" style="141" customWidth="1"/>
    <col min="6680" max="6680" width="17.7109375" style="141" customWidth="1"/>
    <col min="6681" max="6681" width="7.5703125" style="141" customWidth="1"/>
    <col min="6682" max="6682" width="1" style="141" customWidth="1"/>
    <col min="6683" max="6683" width="6.5703125" style="141" customWidth="1"/>
    <col min="6684" max="6684" width="7.5703125" style="141" customWidth="1"/>
    <col min="6685" max="6912" width="9.140625" style="141"/>
    <col min="6913" max="6913" width="13.7109375" style="141" customWidth="1"/>
    <col min="6914" max="6914" width="0.5703125" style="141" customWidth="1"/>
    <col min="6915" max="6935" width="4.5703125" style="141" customWidth="1"/>
    <col min="6936" max="6936" width="17.7109375" style="141" customWidth="1"/>
    <col min="6937" max="6937" width="7.5703125" style="141" customWidth="1"/>
    <col min="6938" max="6938" width="1" style="141" customWidth="1"/>
    <col min="6939" max="6939" width="6.5703125" style="141" customWidth="1"/>
    <col min="6940" max="6940" width="7.5703125" style="141" customWidth="1"/>
    <col min="6941" max="7168" width="9.140625" style="141"/>
    <col min="7169" max="7169" width="13.7109375" style="141" customWidth="1"/>
    <col min="7170" max="7170" width="0.5703125" style="141" customWidth="1"/>
    <col min="7171" max="7191" width="4.5703125" style="141" customWidth="1"/>
    <col min="7192" max="7192" width="17.7109375" style="141" customWidth="1"/>
    <col min="7193" max="7193" width="7.5703125" style="141" customWidth="1"/>
    <col min="7194" max="7194" width="1" style="141" customWidth="1"/>
    <col min="7195" max="7195" width="6.5703125" style="141" customWidth="1"/>
    <col min="7196" max="7196" width="7.5703125" style="141" customWidth="1"/>
    <col min="7197" max="7424" width="9.140625" style="141"/>
    <col min="7425" max="7425" width="13.7109375" style="141" customWidth="1"/>
    <col min="7426" max="7426" width="0.5703125" style="141" customWidth="1"/>
    <col min="7427" max="7447" width="4.5703125" style="141" customWidth="1"/>
    <col min="7448" max="7448" width="17.7109375" style="141" customWidth="1"/>
    <col min="7449" max="7449" width="7.5703125" style="141" customWidth="1"/>
    <col min="7450" max="7450" width="1" style="141" customWidth="1"/>
    <col min="7451" max="7451" width="6.5703125" style="141" customWidth="1"/>
    <col min="7452" max="7452" width="7.5703125" style="141" customWidth="1"/>
    <col min="7453" max="7680" width="9.140625" style="141"/>
    <col min="7681" max="7681" width="13.7109375" style="141" customWidth="1"/>
    <col min="7682" max="7682" width="0.5703125" style="141" customWidth="1"/>
    <col min="7683" max="7703" width="4.5703125" style="141" customWidth="1"/>
    <col min="7704" max="7704" width="17.7109375" style="141" customWidth="1"/>
    <col min="7705" max="7705" width="7.5703125" style="141" customWidth="1"/>
    <col min="7706" max="7706" width="1" style="141" customWidth="1"/>
    <col min="7707" max="7707" width="6.5703125" style="141" customWidth="1"/>
    <col min="7708" max="7708" width="7.5703125" style="141" customWidth="1"/>
    <col min="7709" max="7936" width="9.140625" style="141"/>
    <col min="7937" max="7937" width="13.7109375" style="141" customWidth="1"/>
    <col min="7938" max="7938" width="0.5703125" style="141" customWidth="1"/>
    <col min="7939" max="7959" width="4.5703125" style="141" customWidth="1"/>
    <col min="7960" max="7960" width="17.7109375" style="141" customWidth="1"/>
    <col min="7961" max="7961" width="7.5703125" style="141" customWidth="1"/>
    <col min="7962" max="7962" width="1" style="141" customWidth="1"/>
    <col min="7963" max="7963" width="6.5703125" style="141" customWidth="1"/>
    <col min="7964" max="7964" width="7.5703125" style="141" customWidth="1"/>
    <col min="7965" max="8192" width="9.140625" style="141"/>
    <col min="8193" max="8193" width="13.7109375" style="141" customWidth="1"/>
    <col min="8194" max="8194" width="0.5703125" style="141" customWidth="1"/>
    <col min="8195" max="8215" width="4.5703125" style="141" customWidth="1"/>
    <col min="8216" max="8216" width="17.7109375" style="141" customWidth="1"/>
    <col min="8217" max="8217" width="7.5703125" style="141" customWidth="1"/>
    <col min="8218" max="8218" width="1" style="141" customWidth="1"/>
    <col min="8219" max="8219" width="6.5703125" style="141" customWidth="1"/>
    <col min="8220" max="8220" width="7.5703125" style="141" customWidth="1"/>
    <col min="8221" max="8448" width="9.140625" style="141"/>
    <col min="8449" max="8449" width="13.7109375" style="141" customWidth="1"/>
    <col min="8450" max="8450" width="0.5703125" style="141" customWidth="1"/>
    <col min="8451" max="8471" width="4.5703125" style="141" customWidth="1"/>
    <col min="8472" max="8472" width="17.7109375" style="141" customWidth="1"/>
    <col min="8473" max="8473" width="7.5703125" style="141" customWidth="1"/>
    <col min="8474" max="8474" width="1" style="141" customWidth="1"/>
    <col min="8475" max="8475" width="6.5703125" style="141" customWidth="1"/>
    <col min="8476" max="8476" width="7.5703125" style="141" customWidth="1"/>
    <col min="8477" max="8704" width="9.140625" style="141"/>
    <col min="8705" max="8705" width="13.7109375" style="141" customWidth="1"/>
    <col min="8706" max="8706" width="0.5703125" style="141" customWidth="1"/>
    <col min="8707" max="8727" width="4.5703125" style="141" customWidth="1"/>
    <col min="8728" max="8728" width="17.7109375" style="141" customWidth="1"/>
    <col min="8729" max="8729" width="7.5703125" style="141" customWidth="1"/>
    <col min="8730" max="8730" width="1" style="141" customWidth="1"/>
    <col min="8731" max="8731" width="6.5703125" style="141" customWidth="1"/>
    <col min="8732" max="8732" width="7.5703125" style="141" customWidth="1"/>
    <col min="8733" max="8960" width="9.140625" style="141"/>
    <col min="8961" max="8961" width="13.7109375" style="141" customWidth="1"/>
    <col min="8962" max="8962" width="0.5703125" style="141" customWidth="1"/>
    <col min="8963" max="8983" width="4.5703125" style="141" customWidth="1"/>
    <col min="8984" max="8984" width="17.7109375" style="141" customWidth="1"/>
    <col min="8985" max="8985" width="7.5703125" style="141" customWidth="1"/>
    <col min="8986" max="8986" width="1" style="141" customWidth="1"/>
    <col min="8987" max="8987" width="6.5703125" style="141" customWidth="1"/>
    <col min="8988" max="8988" width="7.5703125" style="141" customWidth="1"/>
    <col min="8989" max="9216" width="9.140625" style="141"/>
    <col min="9217" max="9217" width="13.7109375" style="141" customWidth="1"/>
    <col min="9218" max="9218" width="0.5703125" style="141" customWidth="1"/>
    <col min="9219" max="9239" width="4.5703125" style="141" customWidth="1"/>
    <col min="9240" max="9240" width="17.7109375" style="141" customWidth="1"/>
    <col min="9241" max="9241" width="7.5703125" style="141" customWidth="1"/>
    <col min="9242" max="9242" width="1" style="141" customWidth="1"/>
    <col min="9243" max="9243" width="6.5703125" style="141" customWidth="1"/>
    <col min="9244" max="9244" width="7.5703125" style="141" customWidth="1"/>
    <col min="9245" max="9472" width="9.140625" style="141"/>
    <col min="9473" max="9473" width="13.7109375" style="141" customWidth="1"/>
    <col min="9474" max="9474" width="0.5703125" style="141" customWidth="1"/>
    <col min="9475" max="9495" width="4.5703125" style="141" customWidth="1"/>
    <col min="9496" max="9496" width="17.7109375" style="141" customWidth="1"/>
    <col min="9497" max="9497" width="7.5703125" style="141" customWidth="1"/>
    <col min="9498" max="9498" width="1" style="141" customWidth="1"/>
    <col min="9499" max="9499" width="6.5703125" style="141" customWidth="1"/>
    <col min="9500" max="9500" width="7.5703125" style="141" customWidth="1"/>
    <col min="9501" max="9728" width="9.140625" style="141"/>
    <col min="9729" max="9729" width="13.7109375" style="141" customWidth="1"/>
    <col min="9730" max="9730" width="0.5703125" style="141" customWidth="1"/>
    <col min="9731" max="9751" width="4.5703125" style="141" customWidth="1"/>
    <col min="9752" max="9752" width="17.7109375" style="141" customWidth="1"/>
    <col min="9753" max="9753" width="7.5703125" style="141" customWidth="1"/>
    <col min="9754" max="9754" width="1" style="141" customWidth="1"/>
    <col min="9755" max="9755" width="6.5703125" style="141" customWidth="1"/>
    <col min="9756" max="9756" width="7.5703125" style="141" customWidth="1"/>
    <col min="9757" max="9984" width="9.140625" style="141"/>
    <col min="9985" max="9985" width="13.7109375" style="141" customWidth="1"/>
    <col min="9986" max="9986" width="0.5703125" style="141" customWidth="1"/>
    <col min="9987" max="10007" width="4.5703125" style="141" customWidth="1"/>
    <col min="10008" max="10008" width="17.7109375" style="141" customWidth="1"/>
    <col min="10009" max="10009" width="7.5703125" style="141" customWidth="1"/>
    <col min="10010" max="10010" width="1" style="141" customWidth="1"/>
    <col min="10011" max="10011" width="6.5703125" style="141" customWidth="1"/>
    <col min="10012" max="10012" width="7.5703125" style="141" customWidth="1"/>
    <col min="10013" max="10240" width="9.140625" style="141"/>
    <col min="10241" max="10241" width="13.7109375" style="141" customWidth="1"/>
    <col min="10242" max="10242" width="0.5703125" style="141" customWidth="1"/>
    <col min="10243" max="10263" width="4.5703125" style="141" customWidth="1"/>
    <col min="10264" max="10264" width="17.7109375" style="141" customWidth="1"/>
    <col min="10265" max="10265" width="7.5703125" style="141" customWidth="1"/>
    <col min="10266" max="10266" width="1" style="141" customWidth="1"/>
    <col min="10267" max="10267" width="6.5703125" style="141" customWidth="1"/>
    <col min="10268" max="10268" width="7.5703125" style="141" customWidth="1"/>
    <col min="10269" max="10496" width="9.140625" style="141"/>
    <col min="10497" max="10497" width="13.7109375" style="141" customWidth="1"/>
    <col min="10498" max="10498" width="0.5703125" style="141" customWidth="1"/>
    <col min="10499" max="10519" width="4.5703125" style="141" customWidth="1"/>
    <col min="10520" max="10520" width="17.7109375" style="141" customWidth="1"/>
    <col min="10521" max="10521" width="7.5703125" style="141" customWidth="1"/>
    <col min="10522" max="10522" width="1" style="141" customWidth="1"/>
    <col min="10523" max="10523" width="6.5703125" style="141" customWidth="1"/>
    <col min="10524" max="10524" width="7.5703125" style="141" customWidth="1"/>
    <col min="10525" max="10752" width="9.140625" style="141"/>
    <col min="10753" max="10753" width="13.7109375" style="141" customWidth="1"/>
    <col min="10754" max="10754" width="0.5703125" style="141" customWidth="1"/>
    <col min="10755" max="10775" width="4.5703125" style="141" customWidth="1"/>
    <col min="10776" max="10776" width="17.7109375" style="141" customWidth="1"/>
    <col min="10777" max="10777" width="7.5703125" style="141" customWidth="1"/>
    <col min="10778" max="10778" width="1" style="141" customWidth="1"/>
    <col min="10779" max="10779" width="6.5703125" style="141" customWidth="1"/>
    <col min="10780" max="10780" width="7.5703125" style="141" customWidth="1"/>
    <col min="10781" max="11008" width="9.140625" style="141"/>
    <col min="11009" max="11009" width="13.7109375" style="141" customWidth="1"/>
    <col min="11010" max="11010" width="0.5703125" style="141" customWidth="1"/>
    <col min="11011" max="11031" width="4.5703125" style="141" customWidth="1"/>
    <col min="11032" max="11032" width="17.7109375" style="141" customWidth="1"/>
    <col min="11033" max="11033" width="7.5703125" style="141" customWidth="1"/>
    <col min="11034" max="11034" width="1" style="141" customWidth="1"/>
    <col min="11035" max="11035" width="6.5703125" style="141" customWidth="1"/>
    <col min="11036" max="11036" width="7.5703125" style="141" customWidth="1"/>
    <col min="11037" max="11264" width="9.140625" style="141"/>
    <col min="11265" max="11265" width="13.7109375" style="141" customWidth="1"/>
    <col min="11266" max="11266" width="0.5703125" style="141" customWidth="1"/>
    <col min="11267" max="11287" width="4.5703125" style="141" customWidth="1"/>
    <col min="11288" max="11288" width="17.7109375" style="141" customWidth="1"/>
    <col min="11289" max="11289" width="7.5703125" style="141" customWidth="1"/>
    <col min="11290" max="11290" width="1" style="141" customWidth="1"/>
    <col min="11291" max="11291" width="6.5703125" style="141" customWidth="1"/>
    <col min="11292" max="11292" width="7.5703125" style="141" customWidth="1"/>
    <col min="11293" max="11520" width="9.140625" style="141"/>
    <col min="11521" max="11521" width="13.7109375" style="141" customWidth="1"/>
    <col min="11522" max="11522" width="0.5703125" style="141" customWidth="1"/>
    <col min="11523" max="11543" width="4.5703125" style="141" customWidth="1"/>
    <col min="11544" max="11544" width="17.7109375" style="141" customWidth="1"/>
    <col min="11545" max="11545" width="7.5703125" style="141" customWidth="1"/>
    <col min="11546" max="11546" width="1" style="141" customWidth="1"/>
    <col min="11547" max="11547" width="6.5703125" style="141" customWidth="1"/>
    <col min="11548" max="11548" width="7.5703125" style="141" customWidth="1"/>
    <col min="11549" max="11776" width="9.140625" style="141"/>
    <col min="11777" max="11777" width="13.7109375" style="141" customWidth="1"/>
    <col min="11778" max="11778" width="0.5703125" style="141" customWidth="1"/>
    <col min="11779" max="11799" width="4.5703125" style="141" customWidth="1"/>
    <col min="11800" max="11800" width="17.7109375" style="141" customWidth="1"/>
    <col min="11801" max="11801" width="7.5703125" style="141" customWidth="1"/>
    <col min="11802" max="11802" width="1" style="141" customWidth="1"/>
    <col min="11803" max="11803" width="6.5703125" style="141" customWidth="1"/>
    <col min="11804" max="11804" width="7.5703125" style="141" customWidth="1"/>
    <col min="11805" max="12032" width="9.140625" style="141"/>
    <col min="12033" max="12033" width="13.7109375" style="141" customWidth="1"/>
    <col min="12034" max="12034" width="0.5703125" style="141" customWidth="1"/>
    <col min="12035" max="12055" width="4.5703125" style="141" customWidth="1"/>
    <col min="12056" max="12056" width="17.7109375" style="141" customWidth="1"/>
    <col min="12057" max="12057" width="7.5703125" style="141" customWidth="1"/>
    <col min="12058" max="12058" width="1" style="141" customWidth="1"/>
    <col min="12059" max="12059" width="6.5703125" style="141" customWidth="1"/>
    <col min="12060" max="12060" width="7.5703125" style="141" customWidth="1"/>
    <col min="12061" max="12288" width="9.140625" style="141"/>
    <col min="12289" max="12289" width="13.7109375" style="141" customWidth="1"/>
    <col min="12290" max="12290" width="0.5703125" style="141" customWidth="1"/>
    <col min="12291" max="12311" width="4.5703125" style="141" customWidth="1"/>
    <col min="12312" max="12312" width="17.7109375" style="141" customWidth="1"/>
    <col min="12313" max="12313" width="7.5703125" style="141" customWidth="1"/>
    <col min="12314" max="12314" width="1" style="141" customWidth="1"/>
    <col min="12315" max="12315" width="6.5703125" style="141" customWidth="1"/>
    <col min="12316" max="12316" width="7.5703125" style="141" customWidth="1"/>
    <col min="12317" max="12544" width="9.140625" style="141"/>
    <col min="12545" max="12545" width="13.7109375" style="141" customWidth="1"/>
    <col min="12546" max="12546" width="0.5703125" style="141" customWidth="1"/>
    <col min="12547" max="12567" width="4.5703125" style="141" customWidth="1"/>
    <col min="12568" max="12568" width="17.7109375" style="141" customWidth="1"/>
    <col min="12569" max="12569" width="7.5703125" style="141" customWidth="1"/>
    <col min="12570" max="12570" width="1" style="141" customWidth="1"/>
    <col min="12571" max="12571" width="6.5703125" style="141" customWidth="1"/>
    <col min="12572" max="12572" width="7.5703125" style="141" customWidth="1"/>
    <col min="12573" max="12800" width="9.140625" style="141"/>
    <col min="12801" max="12801" width="13.7109375" style="141" customWidth="1"/>
    <col min="12802" max="12802" width="0.5703125" style="141" customWidth="1"/>
    <col min="12803" max="12823" width="4.5703125" style="141" customWidth="1"/>
    <col min="12824" max="12824" width="17.7109375" style="141" customWidth="1"/>
    <col min="12825" max="12825" width="7.5703125" style="141" customWidth="1"/>
    <col min="12826" max="12826" width="1" style="141" customWidth="1"/>
    <col min="12827" max="12827" width="6.5703125" style="141" customWidth="1"/>
    <col min="12828" max="12828" width="7.5703125" style="141" customWidth="1"/>
    <col min="12829" max="13056" width="9.140625" style="141"/>
    <col min="13057" max="13057" width="13.7109375" style="141" customWidth="1"/>
    <col min="13058" max="13058" width="0.5703125" style="141" customWidth="1"/>
    <col min="13059" max="13079" width="4.5703125" style="141" customWidth="1"/>
    <col min="13080" max="13080" width="17.7109375" style="141" customWidth="1"/>
    <col min="13081" max="13081" width="7.5703125" style="141" customWidth="1"/>
    <col min="13082" max="13082" width="1" style="141" customWidth="1"/>
    <col min="13083" max="13083" width="6.5703125" style="141" customWidth="1"/>
    <col min="13084" max="13084" width="7.5703125" style="141" customWidth="1"/>
    <col min="13085" max="13312" width="9.140625" style="141"/>
    <col min="13313" max="13313" width="13.7109375" style="141" customWidth="1"/>
    <col min="13314" max="13314" width="0.5703125" style="141" customWidth="1"/>
    <col min="13315" max="13335" width="4.5703125" style="141" customWidth="1"/>
    <col min="13336" max="13336" width="17.7109375" style="141" customWidth="1"/>
    <col min="13337" max="13337" width="7.5703125" style="141" customWidth="1"/>
    <col min="13338" max="13338" width="1" style="141" customWidth="1"/>
    <col min="13339" max="13339" width="6.5703125" style="141" customWidth="1"/>
    <col min="13340" max="13340" width="7.5703125" style="141" customWidth="1"/>
    <col min="13341" max="13568" width="9.140625" style="141"/>
    <col min="13569" max="13569" width="13.7109375" style="141" customWidth="1"/>
    <col min="13570" max="13570" width="0.5703125" style="141" customWidth="1"/>
    <col min="13571" max="13591" width="4.5703125" style="141" customWidth="1"/>
    <col min="13592" max="13592" width="17.7109375" style="141" customWidth="1"/>
    <col min="13593" max="13593" width="7.5703125" style="141" customWidth="1"/>
    <col min="13594" max="13594" width="1" style="141" customWidth="1"/>
    <col min="13595" max="13595" width="6.5703125" style="141" customWidth="1"/>
    <col min="13596" max="13596" width="7.5703125" style="141" customWidth="1"/>
    <col min="13597" max="13824" width="9.140625" style="141"/>
    <col min="13825" max="13825" width="13.7109375" style="141" customWidth="1"/>
    <col min="13826" max="13826" width="0.5703125" style="141" customWidth="1"/>
    <col min="13827" max="13847" width="4.5703125" style="141" customWidth="1"/>
    <col min="13848" max="13848" width="17.7109375" style="141" customWidth="1"/>
    <col min="13849" max="13849" width="7.5703125" style="141" customWidth="1"/>
    <col min="13850" max="13850" width="1" style="141" customWidth="1"/>
    <col min="13851" max="13851" width="6.5703125" style="141" customWidth="1"/>
    <col min="13852" max="13852" width="7.5703125" style="141" customWidth="1"/>
    <col min="13853" max="14080" width="9.140625" style="141"/>
    <col min="14081" max="14081" width="13.7109375" style="141" customWidth="1"/>
    <col min="14082" max="14082" width="0.5703125" style="141" customWidth="1"/>
    <col min="14083" max="14103" width="4.5703125" style="141" customWidth="1"/>
    <col min="14104" max="14104" width="17.7109375" style="141" customWidth="1"/>
    <col min="14105" max="14105" width="7.5703125" style="141" customWidth="1"/>
    <col min="14106" max="14106" width="1" style="141" customWidth="1"/>
    <col min="14107" max="14107" width="6.5703125" style="141" customWidth="1"/>
    <col min="14108" max="14108" width="7.5703125" style="141" customWidth="1"/>
    <col min="14109" max="14336" width="9.140625" style="141"/>
    <col min="14337" max="14337" width="13.7109375" style="141" customWidth="1"/>
    <col min="14338" max="14338" width="0.5703125" style="141" customWidth="1"/>
    <col min="14339" max="14359" width="4.5703125" style="141" customWidth="1"/>
    <col min="14360" max="14360" width="17.7109375" style="141" customWidth="1"/>
    <col min="14361" max="14361" width="7.5703125" style="141" customWidth="1"/>
    <col min="14362" max="14362" width="1" style="141" customWidth="1"/>
    <col min="14363" max="14363" width="6.5703125" style="141" customWidth="1"/>
    <col min="14364" max="14364" width="7.5703125" style="141" customWidth="1"/>
    <col min="14365" max="14592" width="9.140625" style="141"/>
    <col min="14593" max="14593" width="13.7109375" style="141" customWidth="1"/>
    <col min="14594" max="14594" width="0.5703125" style="141" customWidth="1"/>
    <col min="14595" max="14615" width="4.5703125" style="141" customWidth="1"/>
    <col min="14616" max="14616" width="17.7109375" style="141" customWidth="1"/>
    <col min="14617" max="14617" width="7.5703125" style="141" customWidth="1"/>
    <col min="14618" max="14618" width="1" style="141" customWidth="1"/>
    <col min="14619" max="14619" width="6.5703125" style="141" customWidth="1"/>
    <col min="14620" max="14620" width="7.5703125" style="141" customWidth="1"/>
    <col min="14621" max="14848" width="9.140625" style="141"/>
    <col min="14849" max="14849" width="13.7109375" style="141" customWidth="1"/>
    <col min="14850" max="14850" width="0.5703125" style="141" customWidth="1"/>
    <col min="14851" max="14871" width="4.5703125" style="141" customWidth="1"/>
    <col min="14872" max="14872" width="17.7109375" style="141" customWidth="1"/>
    <col min="14873" max="14873" width="7.5703125" style="141" customWidth="1"/>
    <col min="14874" max="14874" width="1" style="141" customWidth="1"/>
    <col min="14875" max="14875" width="6.5703125" style="141" customWidth="1"/>
    <col min="14876" max="14876" width="7.5703125" style="141" customWidth="1"/>
    <col min="14877" max="15104" width="9.140625" style="141"/>
    <col min="15105" max="15105" width="13.7109375" style="141" customWidth="1"/>
    <col min="15106" max="15106" width="0.5703125" style="141" customWidth="1"/>
    <col min="15107" max="15127" width="4.5703125" style="141" customWidth="1"/>
    <col min="15128" max="15128" width="17.7109375" style="141" customWidth="1"/>
    <col min="15129" max="15129" width="7.5703125" style="141" customWidth="1"/>
    <col min="15130" max="15130" width="1" style="141" customWidth="1"/>
    <col min="15131" max="15131" width="6.5703125" style="141" customWidth="1"/>
    <col min="15132" max="15132" width="7.5703125" style="141" customWidth="1"/>
    <col min="15133" max="15360" width="9.140625" style="141"/>
    <col min="15361" max="15361" width="13.7109375" style="141" customWidth="1"/>
    <col min="15362" max="15362" width="0.5703125" style="141" customWidth="1"/>
    <col min="15363" max="15383" width="4.5703125" style="141" customWidth="1"/>
    <col min="15384" max="15384" width="17.7109375" style="141" customWidth="1"/>
    <col min="15385" max="15385" width="7.5703125" style="141" customWidth="1"/>
    <col min="15386" max="15386" width="1" style="141" customWidth="1"/>
    <col min="15387" max="15387" width="6.5703125" style="141" customWidth="1"/>
    <col min="15388" max="15388" width="7.5703125" style="141" customWidth="1"/>
    <col min="15389" max="15616" width="9.140625" style="141"/>
    <col min="15617" max="15617" width="13.7109375" style="141" customWidth="1"/>
    <col min="15618" max="15618" width="0.5703125" style="141" customWidth="1"/>
    <col min="15619" max="15639" width="4.5703125" style="141" customWidth="1"/>
    <col min="15640" max="15640" width="17.7109375" style="141" customWidth="1"/>
    <col min="15641" max="15641" width="7.5703125" style="141" customWidth="1"/>
    <col min="15642" max="15642" width="1" style="141" customWidth="1"/>
    <col min="15643" max="15643" width="6.5703125" style="141" customWidth="1"/>
    <col min="15644" max="15644" width="7.5703125" style="141" customWidth="1"/>
    <col min="15645" max="15872" width="9.140625" style="141"/>
    <col min="15873" max="15873" width="13.7109375" style="141" customWidth="1"/>
    <col min="15874" max="15874" width="0.5703125" style="141" customWidth="1"/>
    <col min="15875" max="15895" width="4.5703125" style="141" customWidth="1"/>
    <col min="15896" max="15896" width="17.7109375" style="141" customWidth="1"/>
    <col min="15897" max="15897" width="7.5703125" style="141" customWidth="1"/>
    <col min="15898" max="15898" width="1" style="141" customWidth="1"/>
    <col min="15899" max="15899" width="6.5703125" style="141" customWidth="1"/>
    <col min="15900" max="15900" width="7.5703125" style="141" customWidth="1"/>
    <col min="15901" max="16128" width="9.140625" style="141"/>
    <col min="16129" max="16129" width="13.7109375" style="141" customWidth="1"/>
    <col min="16130" max="16130" width="0.5703125" style="141" customWidth="1"/>
    <col min="16131" max="16151" width="4.5703125" style="141" customWidth="1"/>
    <col min="16152" max="16152" width="17.7109375" style="141" customWidth="1"/>
    <col min="16153" max="16153" width="7.5703125" style="141" customWidth="1"/>
    <col min="16154" max="16154" width="1" style="141" customWidth="1"/>
    <col min="16155" max="16155" width="6.5703125" style="141" customWidth="1"/>
    <col min="16156" max="16156" width="7.5703125" style="141" customWidth="1"/>
    <col min="16157" max="16384" width="9.140625" style="141"/>
  </cols>
  <sheetData>
    <row r="1" spans="1:30" x14ac:dyDescent="0.25">
      <c r="C1" s="63">
        <v>1</v>
      </c>
      <c r="D1" s="63">
        <v>2</v>
      </c>
      <c r="E1" s="63">
        <v>3</v>
      </c>
      <c r="F1" s="63">
        <v>4</v>
      </c>
      <c r="G1" s="63">
        <v>5</v>
      </c>
      <c r="H1" s="63">
        <v>6</v>
      </c>
      <c r="I1" s="63">
        <v>7</v>
      </c>
      <c r="J1" s="63">
        <v>8</v>
      </c>
      <c r="K1" s="63">
        <v>9</v>
      </c>
      <c r="L1" s="63">
        <v>10</v>
      </c>
      <c r="M1" s="63">
        <v>11</v>
      </c>
      <c r="N1" s="63">
        <v>12</v>
      </c>
      <c r="O1" s="63">
        <v>13</v>
      </c>
      <c r="P1" s="63">
        <v>14</v>
      </c>
      <c r="Q1" s="63">
        <v>15</v>
      </c>
      <c r="R1" s="63">
        <v>16</v>
      </c>
      <c r="S1" s="63">
        <v>17</v>
      </c>
      <c r="T1" s="63">
        <v>18</v>
      </c>
      <c r="U1" s="63">
        <v>19</v>
      </c>
      <c r="V1" s="63">
        <v>20</v>
      </c>
      <c r="W1" s="63">
        <v>21</v>
      </c>
      <c r="X1" s="63">
        <v>22</v>
      </c>
      <c r="Y1" s="63">
        <v>23</v>
      </c>
      <c r="Z1" s="63">
        <v>24</v>
      </c>
      <c r="AA1" s="63">
        <v>25</v>
      </c>
      <c r="AB1" s="63">
        <v>26</v>
      </c>
      <c r="AC1" s="63">
        <v>27</v>
      </c>
      <c r="AD1" s="63">
        <v>28</v>
      </c>
    </row>
    <row r="2" spans="1:30" ht="26.45" customHeight="1" x14ac:dyDescent="0.2">
      <c r="A2" s="142"/>
      <c r="B2" s="142"/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P2" s="143"/>
      <c r="Q2" s="143"/>
      <c r="R2" s="143"/>
      <c r="S2" s="143"/>
      <c r="T2" s="143"/>
      <c r="U2" s="143"/>
      <c r="V2" s="143"/>
      <c r="W2" s="143"/>
      <c r="X2" s="143"/>
      <c r="Y2" s="143"/>
      <c r="Z2" s="143" t="s">
        <v>455</v>
      </c>
      <c r="AA2" s="144"/>
      <c r="AB2" s="144"/>
      <c r="AC2" s="145"/>
      <c r="AD2" s="145" t="s">
        <v>567</v>
      </c>
    </row>
    <row r="3" spans="1:30" ht="2.25" customHeight="1" x14ac:dyDescent="0.2">
      <c r="A3" s="142"/>
      <c r="B3" s="142"/>
      <c r="C3" s="143"/>
      <c r="D3" s="143"/>
      <c r="E3" s="143"/>
      <c r="F3" s="143"/>
      <c r="G3" s="143"/>
      <c r="H3" s="143"/>
      <c r="I3" s="143"/>
      <c r="J3" s="143"/>
      <c r="K3" s="143"/>
      <c r="L3" s="143"/>
      <c r="M3" s="143"/>
      <c r="N3" s="143"/>
      <c r="O3" s="143"/>
      <c r="P3" s="143"/>
      <c r="Q3" s="143"/>
      <c r="R3" s="143"/>
      <c r="S3" s="143"/>
      <c r="T3" s="143"/>
      <c r="U3" s="143"/>
      <c r="V3" s="143"/>
      <c r="W3" s="143"/>
      <c r="X3" s="143"/>
      <c r="Y3" s="143"/>
      <c r="Z3" s="143"/>
      <c r="AA3" s="144"/>
      <c r="AB3" s="144"/>
      <c r="AC3" s="145"/>
      <c r="AD3" s="145" t="s">
        <v>568</v>
      </c>
    </row>
    <row r="4" spans="1:30" ht="12.6" customHeight="1" x14ac:dyDescent="0.2">
      <c r="A4" s="142"/>
      <c r="B4" s="142"/>
      <c r="C4" s="146"/>
      <c r="D4" s="146"/>
      <c r="E4" s="147"/>
      <c r="F4" s="147"/>
      <c r="G4" s="147"/>
      <c r="H4" s="147"/>
      <c r="I4" s="147"/>
      <c r="J4" s="147"/>
      <c r="K4" s="147"/>
      <c r="L4" s="147"/>
      <c r="M4" s="147"/>
      <c r="N4" s="147"/>
      <c r="O4" s="147"/>
      <c r="P4" s="147"/>
      <c r="Q4" s="147"/>
      <c r="R4" s="147"/>
      <c r="S4" s="147"/>
      <c r="T4" s="147"/>
      <c r="U4" s="147"/>
      <c r="V4" s="147"/>
      <c r="W4" s="147"/>
      <c r="X4" s="147"/>
      <c r="Y4" s="147"/>
      <c r="Z4" s="147" t="s">
        <v>569</v>
      </c>
      <c r="AA4" s="145"/>
      <c r="AB4" s="145"/>
      <c r="AC4" s="145"/>
      <c r="AD4" s="145"/>
    </row>
    <row r="5" spans="1:30" ht="22.15" customHeight="1" x14ac:dyDescent="0.2">
      <c r="A5" s="148"/>
      <c r="B5" s="148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  <c r="V5" s="147"/>
      <c r="W5" s="147"/>
      <c r="X5" s="147"/>
      <c r="Y5" s="147"/>
      <c r="Z5" s="147"/>
      <c r="AA5" s="148"/>
      <c r="AB5" s="148"/>
      <c r="AC5" s="148"/>
      <c r="AD5" s="148"/>
    </row>
    <row r="6" spans="1:30" ht="23.45" customHeight="1" x14ac:dyDescent="0.2">
      <c r="A6" s="149"/>
      <c r="B6" s="150"/>
      <c r="C6" s="150"/>
      <c r="D6" s="150"/>
      <c r="E6" s="150"/>
      <c r="F6" s="150"/>
      <c r="G6" s="150"/>
      <c r="H6" s="150"/>
      <c r="I6" s="150"/>
      <c r="J6" s="150"/>
      <c r="K6" s="150"/>
      <c r="L6" s="150"/>
      <c r="M6" s="150"/>
      <c r="N6" s="150" t="s">
        <v>287</v>
      </c>
      <c r="O6" s="150"/>
      <c r="P6" s="150" t="s">
        <v>297</v>
      </c>
      <c r="Q6" s="150"/>
      <c r="R6" s="150"/>
      <c r="S6" s="150"/>
      <c r="T6" s="150"/>
      <c r="U6" s="150" t="s">
        <v>440</v>
      </c>
      <c r="V6" s="150"/>
      <c r="W6" s="150"/>
      <c r="X6" s="150" t="s">
        <v>441</v>
      </c>
      <c r="Y6" s="150"/>
      <c r="Z6" s="150"/>
      <c r="AA6" s="150" t="s">
        <v>442</v>
      </c>
      <c r="AB6" s="150"/>
      <c r="AC6" s="150" t="s">
        <v>491</v>
      </c>
      <c r="AD6" s="151"/>
    </row>
    <row r="7" spans="1:30" s="152" customFormat="1" ht="48.75" customHeight="1" x14ac:dyDescent="0.2">
      <c r="A7" s="153" t="s">
        <v>443</v>
      </c>
      <c r="B7" s="154"/>
      <c r="C7" s="154" t="s">
        <v>356</v>
      </c>
      <c r="D7" s="153" t="s">
        <v>0</v>
      </c>
      <c r="E7" s="153" t="s">
        <v>1</v>
      </c>
      <c r="F7" s="153" t="s">
        <v>444</v>
      </c>
      <c r="G7" s="153" t="s">
        <v>445</v>
      </c>
      <c r="H7" s="153" t="s">
        <v>456</v>
      </c>
      <c r="I7" s="153" t="s">
        <v>424</v>
      </c>
      <c r="J7" s="153" t="s">
        <v>457</v>
      </c>
      <c r="K7" s="153" t="s">
        <v>538</v>
      </c>
      <c r="L7" s="153" t="s">
        <v>537</v>
      </c>
      <c r="M7" s="153" t="s">
        <v>446</v>
      </c>
      <c r="N7" s="153" t="s">
        <v>447</v>
      </c>
      <c r="O7" s="153" t="s">
        <v>448</v>
      </c>
      <c r="P7" s="154"/>
      <c r="Q7" s="154" t="s">
        <v>212</v>
      </c>
      <c r="R7" s="153" t="s">
        <v>449</v>
      </c>
      <c r="S7" s="153" t="s">
        <v>450</v>
      </c>
      <c r="T7" s="153" t="s">
        <v>480</v>
      </c>
      <c r="U7" s="154"/>
      <c r="V7" s="154" t="s">
        <v>451</v>
      </c>
      <c r="W7" s="153" t="s">
        <v>452</v>
      </c>
      <c r="X7" s="154"/>
      <c r="Y7" s="154" t="s">
        <v>423</v>
      </c>
      <c r="Z7" s="153" t="s">
        <v>424</v>
      </c>
      <c r="AA7" s="154"/>
      <c r="AB7" s="154" t="s">
        <v>492</v>
      </c>
      <c r="AC7" s="154"/>
      <c r="AD7" s="154" t="s">
        <v>453</v>
      </c>
    </row>
  </sheetData>
  <autoFilter ref="A7:AB7" xr:uid="{25E12380-7DA7-4D60-BAD2-21FCF7EDFCC8}">
    <filterColumn colId="0" showButton="0"/>
    <filterColumn colId="25" showButton="0"/>
  </autoFilter>
  <sortState xmlns:xlrd2="http://schemas.microsoft.com/office/spreadsheetml/2017/richdata2" columnSort="1" ref="A1:AB7">
    <sortCondition ref="A1:AB1"/>
  </sortState>
  <pageMargins left="0" right="0" top="0" bottom="0" header="0" footer="0"/>
  <pageSetup paperSize="9" orientation="landscape" horizontalDpi="0" verticalDpi="0"/>
  <headerFooter alignWithMargins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B62"/>
  <sheetViews>
    <sheetView topLeftCell="A33" zoomScale="85" zoomScaleNormal="85" workbookViewId="0">
      <selection activeCell="D3" sqref="D3"/>
    </sheetView>
  </sheetViews>
  <sheetFormatPr defaultRowHeight="18" x14ac:dyDescent="0.45"/>
  <cols>
    <col min="1" max="1" width="45.140625" bestFit="1" customWidth="1"/>
    <col min="2" max="2" width="8.42578125" bestFit="1" customWidth="1"/>
    <col min="3" max="3" width="8.42578125" customWidth="1"/>
    <col min="4" max="4" width="6" bestFit="1" customWidth="1"/>
    <col min="6" max="6" width="45.140625" bestFit="1" customWidth="1"/>
    <col min="7" max="7" width="8.42578125" bestFit="1" customWidth="1"/>
    <col min="8" max="8" width="8.42578125" customWidth="1"/>
    <col min="9" max="9" width="6" bestFit="1" customWidth="1"/>
    <col min="10" max="10" width="6.28515625" customWidth="1"/>
    <col min="11" max="11" width="45.140625" style="6" bestFit="1" customWidth="1"/>
    <col min="12" max="14" width="9.140625" style="6"/>
    <col min="16" max="16" width="45.140625" style="6" bestFit="1" customWidth="1"/>
    <col min="17" max="19" width="9.140625" style="6"/>
    <col min="22" max="22" width="45.5703125" bestFit="1" customWidth="1"/>
  </cols>
  <sheetData>
    <row r="1" spans="1:28" x14ac:dyDescent="0.45">
      <c r="A1" s="176" t="s">
        <v>260</v>
      </c>
      <c r="B1" s="177"/>
      <c r="C1" s="178"/>
      <c r="D1" s="179"/>
      <c r="F1" s="176" t="s">
        <v>249</v>
      </c>
      <c r="G1" s="177"/>
      <c r="H1" s="178"/>
      <c r="I1" s="179"/>
      <c r="K1" s="176" t="s">
        <v>258</v>
      </c>
      <c r="L1" s="177"/>
      <c r="M1" s="178"/>
      <c r="N1" s="179"/>
      <c r="P1" s="176" t="s">
        <v>255</v>
      </c>
      <c r="Q1" s="177"/>
      <c r="R1" s="178"/>
      <c r="S1" s="179"/>
      <c r="V1" s="176" t="s">
        <v>259</v>
      </c>
      <c r="W1" s="177"/>
      <c r="X1" s="178"/>
      <c r="Y1" s="179"/>
    </row>
    <row r="2" spans="1:28" x14ac:dyDescent="0.45">
      <c r="A2" s="11" t="s">
        <v>250</v>
      </c>
      <c r="B2" s="12" t="s">
        <v>200</v>
      </c>
      <c r="C2" s="48"/>
      <c r="D2" s="13" t="s">
        <v>251</v>
      </c>
      <c r="F2" s="11" t="s">
        <v>250</v>
      </c>
      <c r="G2" s="12" t="s">
        <v>200</v>
      </c>
      <c r="H2" s="48"/>
      <c r="I2" s="13" t="s">
        <v>251</v>
      </c>
      <c r="K2" s="11" t="s">
        <v>250</v>
      </c>
      <c r="L2" s="12" t="s">
        <v>200</v>
      </c>
      <c r="M2" s="48"/>
      <c r="N2" s="13" t="s">
        <v>251</v>
      </c>
      <c r="P2" s="11" t="s">
        <v>250</v>
      </c>
      <c r="Q2" s="12" t="s">
        <v>200</v>
      </c>
      <c r="R2" s="48"/>
      <c r="S2" s="13" t="s">
        <v>251</v>
      </c>
      <c r="V2" s="11" t="s">
        <v>250</v>
      </c>
      <c r="W2" s="12" t="s">
        <v>200</v>
      </c>
      <c r="X2" s="48"/>
      <c r="Y2" s="13" t="s">
        <v>251</v>
      </c>
    </row>
    <row r="3" spans="1:28" x14ac:dyDescent="0.45">
      <c r="A3" s="2" t="s">
        <v>7</v>
      </c>
      <c r="B3" s="3">
        <f>SUMIF(نهایی!$1:$1,A3,نهایی!$3:$3)</f>
        <v>0</v>
      </c>
      <c r="C3" s="3">
        <f>SUMIF(نهایی!$1:$1,A3,نهایی!$2:$2)</f>
        <v>0</v>
      </c>
      <c r="D3" s="7">
        <v>1</v>
      </c>
      <c r="F3" s="2" t="s">
        <v>2</v>
      </c>
      <c r="G3" s="3">
        <f>SUMIF(نهایی!$1:$1,F3,نهایی!$3:$3)</f>
        <v>0</v>
      </c>
      <c r="H3" s="3">
        <f>SUMIF(نهایی!$1:$1,F3,نهایی!$2:$2)</f>
        <v>0</v>
      </c>
      <c r="I3" s="7">
        <v>1</v>
      </c>
      <c r="K3" s="2" t="s">
        <v>3</v>
      </c>
      <c r="L3" s="3">
        <f>SUMIF(نهایی!$1:$1,K3,نهایی!$3:$3)</f>
        <v>0</v>
      </c>
      <c r="M3" s="3">
        <f>SUMIF(نهایی!$1:$1,K3,نهایی!$2:$2)</f>
        <v>0</v>
      </c>
      <c r="N3" s="7">
        <v>1</v>
      </c>
      <c r="P3" s="2" t="s">
        <v>9</v>
      </c>
      <c r="Q3" s="3">
        <f>SUMIF(نهایی!$1:$1,P3,نهایی!$3:$3)</f>
        <v>0</v>
      </c>
      <c r="R3" s="3">
        <f>SUMIF(نهایی!$1:$1,P3,نهایی!$2:$2)</f>
        <v>0</v>
      </c>
      <c r="S3" s="7">
        <v>1</v>
      </c>
      <c r="V3" s="2" t="s">
        <v>52</v>
      </c>
      <c r="W3" s="3">
        <f>SUMIF(نهایی!$1:$1,V3,نهایی!$3:$3)</f>
        <v>0</v>
      </c>
      <c r="X3" s="3">
        <f>SUMIF(نهایی!$1:$1,V3,نهایی!$2:$2)</f>
        <v>0</v>
      </c>
      <c r="Y3" s="7"/>
      <c r="AB3">
        <v>251.58</v>
      </c>
    </row>
    <row r="4" spans="1:28" ht="18.75" thickBot="1" x14ac:dyDescent="0.5">
      <c r="A4" s="2" t="s">
        <v>8</v>
      </c>
      <c r="B4" s="3">
        <f>SUMIF(نهایی!$1:$1,A4,نهایی!$3:$3)</f>
        <v>0</v>
      </c>
      <c r="C4" s="3">
        <f>SUMIF(نهایی!$1:$1,A4,نهایی!$2:$2)</f>
        <v>0</v>
      </c>
      <c r="D4" s="7">
        <v>1</v>
      </c>
      <c r="F4" s="2" t="s">
        <v>4</v>
      </c>
      <c r="G4" s="3">
        <f>SUMIF(نهایی!$1:$1,F4,نهایی!$3:$3)</f>
        <v>0</v>
      </c>
      <c r="H4" s="3">
        <f>SUMIF(نهایی!$1:$1,F4,نهایی!$2:$2)</f>
        <v>0</v>
      </c>
      <c r="I4" s="7">
        <v>1</v>
      </c>
      <c r="K4" s="2" t="s">
        <v>4</v>
      </c>
      <c r="L4" s="3">
        <f>SUMIF(نهایی!$1:$1,K4,نهایی!$3:$3)</f>
        <v>0</v>
      </c>
      <c r="M4" s="3">
        <f>SUMIF(نهایی!$1:$1,K4,نهایی!$2:$2)</f>
        <v>0</v>
      </c>
      <c r="N4" s="7">
        <v>1</v>
      </c>
      <c r="P4" s="4" t="s">
        <v>17</v>
      </c>
      <c r="Q4" s="9">
        <f>SUMIF(نهایی!$1:$1,P4,نهایی!$3:$3)</f>
        <v>0</v>
      </c>
      <c r="R4" s="9">
        <f>SUMIF(نهایی!$1:$1,P4,نهایی!$2:$2)</f>
        <v>0</v>
      </c>
      <c r="S4" s="10">
        <v>1</v>
      </c>
      <c r="V4" s="2" t="s">
        <v>53</v>
      </c>
      <c r="W4" s="3">
        <f>SUMIF(نهایی!$1:$1,V4,نهایی!$3:$3)</f>
        <v>0</v>
      </c>
      <c r="X4" s="3">
        <f>SUMIF(نهایی!$1:$1,V4,نهایی!$2:$2)</f>
        <v>0</v>
      </c>
      <c r="Y4" s="7"/>
      <c r="AB4">
        <v>314</v>
      </c>
    </row>
    <row r="5" spans="1:28" x14ac:dyDescent="0.45">
      <c r="A5" s="2" t="s">
        <v>12</v>
      </c>
      <c r="B5" s="3">
        <f>SUMIF(نهایی!$1:$1,A5,نهایی!$3:$3)</f>
        <v>0</v>
      </c>
      <c r="C5" s="3">
        <f>SUMIF(نهایی!$1:$1,A5,نهایی!$2:$2)</f>
        <v>0</v>
      </c>
      <c r="D5" s="8">
        <v>1</v>
      </c>
      <c r="F5" s="2" t="s">
        <v>5</v>
      </c>
      <c r="G5" s="3">
        <f>SUMIF(نهایی!$1:$1,F5,نهایی!$3:$3)</f>
        <v>0</v>
      </c>
      <c r="H5" s="3">
        <f>SUMIF(نهایی!$1:$1,F5,نهایی!$2:$2)</f>
        <v>0</v>
      </c>
      <c r="I5" s="8"/>
      <c r="K5" s="2" t="s">
        <v>5</v>
      </c>
      <c r="L5" s="3">
        <f>SUMIF(نهایی!$1:$1,K5,نهایی!$3:$3)</f>
        <v>0</v>
      </c>
      <c r="M5" s="3">
        <f>SUMIF(نهایی!$1:$1,K5,نهایی!$2:$2)</f>
        <v>0</v>
      </c>
      <c r="N5" s="8"/>
      <c r="V5" s="2" t="s">
        <v>54</v>
      </c>
      <c r="W5" s="3">
        <f>SUMIF(نهایی!$1:$1,V5,نهایی!$3:$3)</f>
        <v>0</v>
      </c>
      <c r="X5" s="3">
        <f>SUMIF(نهایی!$1:$1,V5,نهایی!$2:$2)</f>
        <v>0</v>
      </c>
      <c r="Y5" s="7"/>
      <c r="AB5">
        <v>42.6</v>
      </c>
    </row>
    <row r="6" spans="1:28" ht="18.75" thickBot="1" x14ac:dyDescent="0.5">
      <c r="A6" s="2" t="s">
        <v>13</v>
      </c>
      <c r="B6" s="3">
        <f>SUMIF(نهایی!$1:$1,A6,نهایی!$3:$3)</f>
        <v>0</v>
      </c>
      <c r="C6" s="3">
        <f>SUMIF(نهایی!$1:$1,A6,نهایی!$2:$2)</f>
        <v>0</v>
      </c>
      <c r="D6" s="7">
        <v>1</v>
      </c>
      <c r="F6" s="2" t="s">
        <v>6</v>
      </c>
      <c r="G6" s="3">
        <f>SUMIF(نهایی!$1:$1,F6,نهایی!$3:$3)</f>
        <v>0</v>
      </c>
      <c r="H6" s="3">
        <f>SUMIF(نهایی!$1:$1,F6,نهایی!$2:$2)</f>
        <v>0</v>
      </c>
      <c r="I6" s="7">
        <v>1</v>
      </c>
      <c r="K6" s="2" t="s">
        <v>13</v>
      </c>
      <c r="L6" s="3">
        <f>SUMIF(نهایی!$1:$1,K6,نهایی!$3:$3)</f>
        <v>0</v>
      </c>
      <c r="M6" s="3">
        <f>SUMIF(نهایی!$1:$1,K6,نهایی!$2:$2)</f>
        <v>0</v>
      </c>
      <c r="N6" s="7">
        <v>1</v>
      </c>
      <c r="V6" s="2" t="s">
        <v>55</v>
      </c>
      <c r="W6" s="3">
        <f>SUMIF(نهایی!$1:$1,V6,نهایی!$3:$3)</f>
        <v>0</v>
      </c>
      <c r="X6" s="3">
        <f>SUMIF(نهایی!$1:$1,V6,نهایی!$2:$2)</f>
        <v>0</v>
      </c>
      <c r="Y6" s="7"/>
      <c r="AB6">
        <v>210</v>
      </c>
    </row>
    <row r="7" spans="1:28" x14ac:dyDescent="0.45">
      <c r="A7" s="2" t="s">
        <v>26</v>
      </c>
      <c r="B7" s="3">
        <f>SUMIF(نهایی!$1:$1,A7,نهایی!$3:$3)</f>
        <v>0</v>
      </c>
      <c r="C7" s="3">
        <f>SUMIF(نهایی!$1:$1,A7,نهایی!$2:$2)</f>
        <v>0</v>
      </c>
      <c r="D7" s="7">
        <v>1</v>
      </c>
      <c r="F7" s="2" t="s">
        <v>13</v>
      </c>
      <c r="G7" s="3">
        <f>SUMIF(نهایی!$1:$1,F7,نهایی!$3:$3)</f>
        <v>0</v>
      </c>
      <c r="H7" s="3">
        <f>SUMIF(نهایی!$1:$1,F7,نهایی!$2:$2)</f>
        <v>0</v>
      </c>
      <c r="I7" s="7">
        <v>1</v>
      </c>
      <c r="K7" s="2" t="s">
        <v>36</v>
      </c>
      <c r="L7" s="3">
        <f>SUMIF(نهایی!$1:$1,K7,نهایی!$3:$3)</f>
        <v>0</v>
      </c>
      <c r="M7" s="3">
        <f>SUMIF(نهایی!$1:$1,K7,نهایی!$2:$2)</f>
        <v>0</v>
      </c>
      <c r="N7" s="7">
        <v>1</v>
      </c>
      <c r="P7" s="176" t="s">
        <v>256</v>
      </c>
      <c r="Q7" s="177"/>
      <c r="R7" s="178"/>
      <c r="S7" s="179"/>
      <c r="V7" s="2" t="s">
        <v>56</v>
      </c>
      <c r="W7" s="3">
        <f>SUMIF(نهایی!$1:$1,V7,نهایی!$3:$3)</f>
        <v>0</v>
      </c>
      <c r="X7" s="3">
        <f>SUMIF(نهایی!$1:$1,V7,نهایی!$2:$2)</f>
        <v>0</v>
      </c>
      <c r="Y7" s="7"/>
      <c r="AB7">
        <v>356</v>
      </c>
    </row>
    <row r="8" spans="1:28" ht="18.75" thickBot="1" x14ac:dyDescent="0.5">
      <c r="A8" s="4" t="s">
        <v>37</v>
      </c>
      <c r="B8" s="9">
        <f>SUMIF(نهایی!$1:$1,A8,نهایی!$3:$3)</f>
        <v>0</v>
      </c>
      <c r="C8" s="9">
        <f>SUMIF(نهایی!$1:$1,A8,نهایی!$2:$2)</f>
        <v>0</v>
      </c>
      <c r="D8" s="10">
        <v>1</v>
      </c>
      <c r="F8" s="2" t="s">
        <v>16</v>
      </c>
      <c r="G8" s="3">
        <f>SUMIF(نهایی!$1:$1,F8,نهایی!$3:$3)</f>
        <v>0</v>
      </c>
      <c r="H8" s="3">
        <f>SUMIF(نهایی!$1:$1,F8,نهایی!$2:$2)</f>
        <v>0</v>
      </c>
      <c r="I8" s="7">
        <v>1</v>
      </c>
      <c r="K8" s="2" t="s">
        <v>22</v>
      </c>
      <c r="L8" s="3">
        <f>SUMIF(نهایی!$1:$1,K8,نهایی!$3:$3)</f>
        <v>0</v>
      </c>
      <c r="M8" s="3">
        <f>SUMIF(نهایی!$1:$1,K8,نهایی!$2:$2)</f>
        <v>0</v>
      </c>
      <c r="N8" s="7">
        <v>1</v>
      </c>
      <c r="P8" s="11" t="s">
        <v>250</v>
      </c>
      <c r="Q8" s="12" t="s">
        <v>200</v>
      </c>
      <c r="R8" s="48"/>
      <c r="S8" s="13" t="s">
        <v>251</v>
      </c>
      <c r="V8" s="2" t="s">
        <v>57</v>
      </c>
      <c r="W8" s="3">
        <f>SUMIF(نهایی!$1:$1,V8,نهایی!$3:$3)</f>
        <v>0</v>
      </c>
      <c r="X8" s="3">
        <f>SUMIF(نهایی!$1:$1,V8,نهایی!$2:$2)</f>
        <v>0</v>
      </c>
      <c r="Y8" s="7"/>
      <c r="AB8">
        <v>106.34</v>
      </c>
    </row>
    <row r="9" spans="1:28" ht="18.75" thickBot="1" x14ac:dyDescent="0.5">
      <c r="D9" s="6"/>
      <c r="F9" s="2" t="s">
        <v>22</v>
      </c>
      <c r="G9" s="3">
        <f>SUMIF(نهایی!$1:$1,F9,نهایی!$3:$3)</f>
        <v>0</v>
      </c>
      <c r="H9" s="3">
        <f>SUMIF(نهایی!$1:$1,F9,نهایی!$2:$2)</f>
        <v>0</v>
      </c>
      <c r="I9" s="7">
        <v>1</v>
      </c>
      <c r="K9" s="4" t="s">
        <v>48</v>
      </c>
      <c r="L9" s="9">
        <f>SUMIF(نهایی!$1:$1,K9,نهایی!$3:$3)</f>
        <v>0</v>
      </c>
      <c r="M9" s="9">
        <f>SUMIF(نهایی!$1:$1,K9,نهایی!$2:$2)</f>
        <v>0</v>
      </c>
      <c r="N9" s="10">
        <v>1</v>
      </c>
      <c r="P9" s="2" t="s">
        <v>9</v>
      </c>
      <c r="Q9" s="3">
        <f>SUMIF(نهایی!$1:$1,P9,نهایی!$3:$3)</f>
        <v>0</v>
      </c>
      <c r="R9" s="3">
        <f>SUMIF(نهایی!$1:$1,P9,نهایی!$2:$2)</f>
        <v>0</v>
      </c>
      <c r="S9" s="7">
        <v>1</v>
      </c>
      <c r="V9" s="2" t="s">
        <v>217</v>
      </c>
      <c r="W9" s="3">
        <f>SUMIF(نهایی!$1:$1,V9,نهایی!$3:$3)</f>
        <v>0</v>
      </c>
      <c r="X9" s="3">
        <f>SUMIF(نهایی!$1:$1,V9,نهایی!$2:$2)</f>
        <v>0</v>
      </c>
      <c r="Y9" s="7"/>
      <c r="AB9">
        <v>548.5</v>
      </c>
    </row>
    <row r="10" spans="1:28" ht="18.75" thickBot="1" x14ac:dyDescent="0.5">
      <c r="A10" s="176" t="s">
        <v>261</v>
      </c>
      <c r="B10" s="177"/>
      <c r="C10" s="178"/>
      <c r="D10" s="179"/>
      <c r="F10" s="4" t="s">
        <v>41</v>
      </c>
      <c r="G10" s="9">
        <f>SUMIF(نهایی!$1:$1,F10,نهایی!$3:$3)</f>
        <v>0</v>
      </c>
      <c r="H10" s="9">
        <f>SUMIF(نهایی!$1:$1,F10,نهایی!$2:$2)</f>
        <v>0</v>
      </c>
      <c r="I10" s="10">
        <v>1</v>
      </c>
      <c r="P10" s="4" t="s">
        <v>20</v>
      </c>
      <c r="Q10" s="9">
        <f>SUMIF(نهایی!$1:$1,P10,نهایی!$3:$3)</f>
        <v>0</v>
      </c>
      <c r="R10" s="9">
        <f>SUMIF(نهایی!$1:$1,P10,نهایی!$2:$2)</f>
        <v>0</v>
      </c>
      <c r="S10" s="10">
        <v>1</v>
      </c>
      <c r="V10" s="2" t="s">
        <v>218</v>
      </c>
      <c r="W10" s="3">
        <f>SUMIF(نهایی!$1:$1,V10,نهایی!$3:$3)</f>
        <v>0</v>
      </c>
      <c r="X10" s="3">
        <f>SUMIF(نهایی!$1:$1,V10,نهایی!$2:$2)</f>
        <v>0</v>
      </c>
      <c r="Y10" s="7"/>
      <c r="AB10">
        <v>323</v>
      </c>
    </row>
    <row r="11" spans="1:28" ht="18.75" thickBot="1" x14ac:dyDescent="0.5">
      <c r="A11" s="11" t="s">
        <v>250</v>
      </c>
      <c r="B11" s="12" t="s">
        <v>200</v>
      </c>
      <c r="C11" s="48"/>
      <c r="D11" s="13" t="s">
        <v>251</v>
      </c>
      <c r="I11" s="6"/>
      <c r="K11" s="176" t="s">
        <v>252</v>
      </c>
      <c r="L11" s="177"/>
      <c r="M11" s="178"/>
      <c r="N11" s="179"/>
      <c r="V11" s="2" t="s">
        <v>219</v>
      </c>
      <c r="W11" s="3">
        <f>SUMIF(نهایی!$1:$1,V11,نهایی!$3:$3)</f>
        <v>0</v>
      </c>
      <c r="X11" s="3">
        <f>SUMIF(نهایی!$1:$1,V11,نهایی!$2:$2)</f>
        <v>0</v>
      </c>
      <c r="Y11" s="7"/>
      <c r="AB11">
        <v>449</v>
      </c>
    </row>
    <row r="12" spans="1:28" x14ac:dyDescent="0.45">
      <c r="A12" s="2" t="s">
        <v>7</v>
      </c>
      <c r="B12" s="3">
        <f>SUMIF(نهایی!$1:$1,A12,نهایی!$3:$3)</f>
        <v>0</v>
      </c>
      <c r="C12" s="3">
        <f>SUMIF(نهایی!$1:$1,A12,نهایی!$2:$2)</f>
        <v>0</v>
      </c>
      <c r="D12" s="7">
        <v>2</v>
      </c>
      <c r="F12" s="176" t="s">
        <v>252</v>
      </c>
      <c r="G12" s="177"/>
      <c r="H12" s="178"/>
      <c r="I12" s="179"/>
      <c r="K12" s="11" t="s">
        <v>250</v>
      </c>
      <c r="L12" s="12" t="s">
        <v>200</v>
      </c>
      <c r="M12" s="48"/>
      <c r="N12" s="13" t="s">
        <v>251</v>
      </c>
      <c r="V12" s="2" t="s">
        <v>240</v>
      </c>
      <c r="W12" s="3">
        <f>SUMIF(نهایی!$1:$1,V12,نهایی!$3:$3)</f>
        <v>0</v>
      </c>
      <c r="X12" s="3">
        <f>SUMIF(نهایی!$1:$1,V12,نهایی!$2:$2)</f>
        <v>0</v>
      </c>
      <c r="Y12" s="7"/>
      <c r="AB12">
        <v>236</v>
      </c>
    </row>
    <row r="13" spans="1:28" x14ac:dyDescent="0.45">
      <c r="A13" s="2" t="s">
        <v>8</v>
      </c>
      <c r="B13" s="3">
        <f>SUMIF(نهایی!$1:$1,A13,نهایی!$3:$3)</f>
        <v>0</v>
      </c>
      <c r="C13" s="3">
        <f>SUMIF(نهایی!$1:$1,A13,نهایی!$2:$2)</f>
        <v>0</v>
      </c>
      <c r="D13" s="7">
        <v>2</v>
      </c>
      <c r="F13" s="11" t="s">
        <v>250</v>
      </c>
      <c r="G13" s="12" t="s">
        <v>200</v>
      </c>
      <c r="H13" s="48"/>
      <c r="I13" s="13" t="s">
        <v>251</v>
      </c>
      <c r="K13" s="2" t="s">
        <v>3</v>
      </c>
      <c r="L13" s="3">
        <f>SUMIF(نهایی!$1:$1,K13,نهایی!$3:$3)</f>
        <v>0</v>
      </c>
      <c r="M13" s="3">
        <f>SUMIF(نهایی!$1:$1,K13,نهایی!$2:$2)</f>
        <v>0</v>
      </c>
      <c r="N13" s="7">
        <v>2</v>
      </c>
      <c r="P13"/>
      <c r="Q13"/>
      <c r="R13"/>
      <c r="V13" s="2" t="s">
        <v>11</v>
      </c>
      <c r="W13" s="3">
        <f>SUMIF(نهایی!$1:$1,V13,نهایی!$3:$3)</f>
        <v>0</v>
      </c>
      <c r="X13" s="3">
        <f>SUMIF(نهایی!$1:$1,V13,نهایی!$2:$2)</f>
        <v>0</v>
      </c>
      <c r="Y13" s="7"/>
      <c r="AB13">
        <v>475.6</v>
      </c>
    </row>
    <row r="14" spans="1:28" x14ac:dyDescent="0.45">
      <c r="A14" s="2" t="s">
        <v>12</v>
      </c>
      <c r="B14" s="3">
        <f>SUMIF(نهایی!$1:$1,A14,نهایی!$3:$3)</f>
        <v>0</v>
      </c>
      <c r="C14" s="3">
        <f>SUMIF(نهایی!$1:$1,A14,نهایی!$2:$2)</f>
        <v>0</v>
      </c>
      <c r="D14" s="8">
        <v>2</v>
      </c>
      <c r="F14" s="2" t="s">
        <v>2</v>
      </c>
      <c r="G14" s="3">
        <f>SUMIF(نهایی!$1:$1,F14,نهایی!$3:$3)</f>
        <v>0</v>
      </c>
      <c r="H14" s="3">
        <f>SUMIF(نهایی!$1:$1,F14,نهایی!$2:$2)</f>
        <v>0</v>
      </c>
      <c r="I14" s="7">
        <v>2</v>
      </c>
      <c r="K14" s="2" t="s">
        <v>4</v>
      </c>
      <c r="L14" s="3">
        <f>SUMIF(نهایی!$1:$1,K14,نهایی!$3:$3)</f>
        <v>0</v>
      </c>
      <c r="M14" s="3">
        <f>SUMIF(نهایی!$1:$1,K14,نهایی!$2:$2)</f>
        <v>0</v>
      </c>
      <c r="N14" s="7">
        <v>2</v>
      </c>
      <c r="P14"/>
      <c r="Q14"/>
      <c r="R14"/>
      <c r="V14" s="2" t="s">
        <v>14</v>
      </c>
      <c r="W14" s="3">
        <f>SUMIF(نهایی!$1:$1,V14,نهایی!$3:$3)</f>
        <v>0</v>
      </c>
      <c r="X14" s="3">
        <f>SUMIF(نهایی!$1:$1,V14,نهایی!$2:$2)</f>
        <v>0</v>
      </c>
      <c r="Y14" s="7"/>
      <c r="AB14">
        <v>272</v>
      </c>
    </row>
    <row r="15" spans="1:28" ht="18.75" thickBot="1" x14ac:dyDescent="0.5">
      <c r="A15" s="2" t="s">
        <v>13</v>
      </c>
      <c r="B15" s="3">
        <f>SUMIF(نهایی!$1:$1,A15,نهایی!$3:$3)</f>
        <v>0</v>
      </c>
      <c r="C15" s="3">
        <f>SUMIF(نهایی!$1:$1,A15,نهایی!$2:$2)</f>
        <v>0</v>
      </c>
      <c r="D15" s="7">
        <v>2</v>
      </c>
      <c r="F15" s="2" t="s">
        <v>4</v>
      </c>
      <c r="G15" s="3">
        <f>SUMIF(نهایی!$1:$1,F15,نهایی!$3:$3)</f>
        <v>0</v>
      </c>
      <c r="H15" s="3">
        <f>SUMIF(نهایی!$1:$1,F15,نهایی!$2:$2)</f>
        <v>0</v>
      </c>
      <c r="I15" s="7">
        <v>2</v>
      </c>
      <c r="K15" s="2" t="s">
        <v>5</v>
      </c>
      <c r="L15" s="3">
        <f>SUMIF(نهایی!$1:$1,K15,نهایی!$3:$3)</f>
        <v>0</v>
      </c>
      <c r="M15" s="3">
        <f>SUMIF(نهایی!$1:$1,K15,نهایی!$2:$2)</f>
        <v>0</v>
      </c>
      <c r="N15" s="8"/>
      <c r="P15"/>
      <c r="Q15"/>
      <c r="R15"/>
      <c r="V15" s="4" t="s">
        <v>15</v>
      </c>
      <c r="W15" s="9">
        <f>SUMIF(نهایی!$1:$1,V15,نهایی!$3:$3)</f>
        <v>0</v>
      </c>
      <c r="X15" s="9">
        <f>SUMIF(نهایی!$1:$1,V15,نهایی!$2:$2)</f>
        <v>0</v>
      </c>
      <c r="Y15" s="10"/>
      <c r="AB15">
        <v>466.37</v>
      </c>
    </row>
    <row r="16" spans="1:28" x14ac:dyDescent="0.45">
      <c r="A16" s="2" t="s">
        <v>28</v>
      </c>
      <c r="B16" s="3">
        <f>SUMIF(نهایی!$1:$1,A16,نهایی!$3:$3)</f>
        <v>0</v>
      </c>
      <c r="C16" s="3">
        <f>SUMIF(نهایی!$1:$1,A16,نهایی!$2:$2)</f>
        <v>0</v>
      </c>
      <c r="D16" s="7">
        <v>1</v>
      </c>
      <c r="F16" s="2" t="s">
        <v>5</v>
      </c>
      <c r="G16" s="3">
        <f>SUMIF(نهایی!$1:$1,F16,نهایی!$3:$3)</f>
        <v>0</v>
      </c>
      <c r="H16" s="3">
        <f>SUMIF(نهایی!$1:$1,F16,نهایی!$2:$2)</f>
        <v>0</v>
      </c>
      <c r="I16" s="8"/>
      <c r="K16" s="2" t="s">
        <v>6</v>
      </c>
      <c r="L16" s="3">
        <f>SUMIF(نهایی!$1:$1,K16,نهایی!$3:$3)</f>
        <v>0</v>
      </c>
      <c r="M16" s="3">
        <f>SUMIF(نهایی!$1:$1,K16,نهایی!$2:$2)</f>
        <v>0</v>
      </c>
      <c r="N16" s="7">
        <v>2</v>
      </c>
      <c r="P16"/>
      <c r="Q16"/>
      <c r="R16"/>
    </row>
    <row r="17" spans="1:18" ht="18.75" thickBot="1" x14ac:dyDescent="0.5">
      <c r="A17" s="4" t="s">
        <v>38</v>
      </c>
      <c r="B17" s="9">
        <f>SUMIF(نهایی!$1:$1,A17,نهایی!$3:$3)</f>
        <v>0</v>
      </c>
      <c r="C17" s="9">
        <f>SUMIF(نهایی!$1:$1,A17,نهایی!$2:$2)</f>
        <v>0</v>
      </c>
      <c r="D17" s="10">
        <v>1</v>
      </c>
      <c r="F17" s="2" t="s">
        <v>6</v>
      </c>
      <c r="G17" s="3">
        <f>SUMIF(نهایی!$1:$1,F17,نهایی!$3:$3)</f>
        <v>0</v>
      </c>
      <c r="H17" s="3">
        <f>SUMIF(نهایی!$1:$1,F17,نهایی!$2:$2)</f>
        <v>0</v>
      </c>
      <c r="I17" s="7">
        <v>2</v>
      </c>
      <c r="K17" s="2" t="s">
        <v>13</v>
      </c>
      <c r="L17" s="3">
        <f>SUMIF(نهایی!$1:$1,K17,نهایی!$3:$3)</f>
        <v>0</v>
      </c>
      <c r="M17" s="3">
        <f>SUMIF(نهایی!$1:$1,K17,نهایی!$2:$2)</f>
        <v>0</v>
      </c>
      <c r="N17" s="7">
        <v>2</v>
      </c>
      <c r="P17"/>
      <c r="Q17"/>
      <c r="R17"/>
    </row>
    <row r="18" spans="1:18" ht="18.75" thickBot="1" x14ac:dyDescent="0.5">
      <c r="F18" s="2" t="s">
        <v>13</v>
      </c>
      <c r="G18" s="3">
        <f>SUMIF(نهایی!$1:$1,F18,نهایی!$3:$3)</f>
        <v>0</v>
      </c>
      <c r="H18" s="3">
        <f>SUMIF(نهایی!$1:$1,F18,نهایی!$2:$2)</f>
        <v>0</v>
      </c>
      <c r="I18" s="7">
        <v>2</v>
      </c>
      <c r="K18" s="2" t="s">
        <v>32</v>
      </c>
      <c r="L18" s="3">
        <f>SUMIF(نهایی!$1:$1,K18,نهایی!$3:$3)</f>
        <v>0</v>
      </c>
      <c r="M18" s="3">
        <f>SUMIF(نهایی!$1:$1,K18,نهایی!$2:$2)</f>
        <v>0</v>
      </c>
      <c r="N18" s="7">
        <v>1</v>
      </c>
      <c r="P18"/>
      <c r="Q18"/>
      <c r="R18"/>
    </row>
    <row r="19" spans="1:18" x14ac:dyDescent="0.45">
      <c r="A19" s="176" t="s">
        <v>262</v>
      </c>
      <c r="B19" s="177"/>
      <c r="C19" s="178"/>
      <c r="D19" s="179"/>
      <c r="F19" s="2" t="s">
        <v>18</v>
      </c>
      <c r="G19" s="3">
        <f>SUMIF(نهایی!$1:$1,F19,نهایی!$3:$3)</f>
        <v>0</v>
      </c>
      <c r="H19" s="3">
        <f>SUMIF(نهایی!$1:$1,F19,نهایی!$2:$2)</f>
        <v>0</v>
      </c>
      <c r="I19" s="7">
        <v>1</v>
      </c>
      <c r="K19" s="2" t="s">
        <v>35</v>
      </c>
      <c r="L19" s="3">
        <f>SUMIF(نهایی!$1:$1,K19,نهایی!$3:$3)</f>
        <v>0</v>
      </c>
      <c r="M19" s="3">
        <f>SUMIF(نهایی!$1:$1,K19,نهایی!$2:$2)</f>
        <v>0</v>
      </c>
      <c r="N19" s="7">
        <v>1</v>
      </c>
      <c r="P19"/>
      <c r="Q19"/>
      <c r="R19"/>
    </row>
    <row r="20" spans="1:18" x14ac:dyDescent="0.45">
      <c r="A20" s="11" t="s">
        <v>250</v>
      </c>
      <c r="B20" s="12" t="s">
        <v>200</v>
      </c>
      <c r="C20" s="48"/>
      <c r="D20" s="13" t="s">
        <v>251</v>
      </c>
      <c r="F20" s="2" t="s">
        <v>23</v>
      </c>
      <c r="G20" s="3">
        <f>SUMIF(نهایی!$1:$1,F20,نهایی!$3:$3)</f>
        <v>0</v>
      </c>
      <c r="H20" s="3">
        <f>SUMIF(نهایی!$1:$1,F20,نهایی!$2:$2)</f>
        <v>0</v>
      </c>
      <c r="I20" s="7">
        <v>1</v>
      </c>
      <c r="K20" s="2" t="s">
        <v>45</v>
      </c>
      <c r="L20" s="3">
        <f>SUMIF(نهایی!$1:$1,K20,نهایی!$3:$3)</f>
        <v>0</v>
      </c>
      <c r="M20" s="3">
        <f>SUMIF(نهایی!$1:$1,K20,نهایی!$2:$2)</f>
        <v>0</v>
      </c>
      <c r="N20" s="7"/>
      <c r="P20"/>
      <c r="Q20"/>
      <c r="R20"/>
    </row>
    <row r="21" spans="1:18" ht="18.75" thickBot="1" x14ac:dyDescent="0.5">
      <c r="A21" s="2" t="s">
        <v>7</v>
      </c>
      <c r="B21" s="3">
        <f>SUMIF(نهایی!$1:$1,A21,نهایی!$3:$3)</f>
        <v>0</v>
      </c>
      <c r="C21" s="3">
        <f>SUMIF(نهایی!$1:$1,A21,نهایی!$2:$2)</f>
        <v>0</v>
      </c>
      <c r="D21" s="7">
        <v>3</v>
      </c>
      <c r="F21" s="4" t="s">
        <v>42</v>
      </c>
      <c r="G21" s="9">
        <f>SUMIF(نهایی!$1:$1,F21,نهایی!$3:$3)</f>
        <v>0</v>
      </c>
      <c r="H21" s="9">
        <f>SUMIF(نهایی!$1:$1,F21,نهایی!$2:$2)</f>
        <v>0</v>
      </c>
      <c r="I21" s="10">
        <v>1</v>
      </c>
      <c r="K21" s="4" t="s">
        <v>49</v>
      </c>
      <c r="L21" s="9">
        <f>SUMIF(نهایی!$1:$1,K21,نهایی!$3:$3)</f>
        <v>0</v>
      </c>
      <c r="M21" s="9">
        <f>SUMIF(نهایی!$1:$1,L21,نهایی!$2:$2)</f>
        <v>0</v>
      </c>
      <c r="N21" s="10">
        <v>1</v>
      </c>
      <c r="P21"/>
      <c r="Q21"/>
      <c r="R21"/>
    </row>
    <row r="22" spans="1:18" ht="18.75" thickBot="1" x14ac:dyDescent="0.5">
      <c r="A22" s="2" t="s">
        <v>8</v>
      </c>
      <c r="B22" s="3">
        <f>SUMIF(نهایی!$1:$1,A22,نهایی!$3:$3)</f>
        <v>0</v>
      </c>
      <c r="C22" s="3">
        <f>SUMIF(نهایی!$1:$1,A22,نهایی!$2:$2)</f>
        <v>0</v>
      </c>
      <c r="D22" s="7">
        <v>3</v>
      </c>
      <c r="P22"/>
      <c r="Q22"/>
      <c r="R22"/>
    </row>
    <row r="23" spans="1:18" x14ac:dyDescent="0.45">
      <c r="A23" s="2" t="s">
        <v>12</v>
      </c>
      <c r="B23" s="3">
        <f>SUMIF(نهایی!$1:$1,A23,نهایی!$3:$3)</f>
        <v>0</v>
      </c>
      <c r="C23" s="3">
        <f>SUMIF(نهایی!$1:$1,A23,نهایی!$2:$2)</f>
        <v>0</v>
      </c>
      <c r="D23" s="8">
        <v>3</v>
      </c>
      <c r="F23" s="176" t="s">
        <v>253</v>
      </c>
      <c r="G23" s="177"/>
      <c r="H23" s="178"/>
      <c r="I23" s="179"/>
      <c r="K23" s="176" t="s">
        <v>253</v>
      </c>
      <c r="L23" s="177"/>
      <c r="M23" s="178"/>
      <c r="N23" s="179"/>
      <c r="P23"/>
      <c r="Q23"/>
      <c r="R23"/>
    </row>
    <row r="24" spans="1:18" x14ac:dyDescent="0.45">
      <c r="A24" s="2" t="s">
        <v>13</v>
      </c>
      <c r="B24" s="3">
        <f>SUMIF(نهایی!$1:$1,A24,نهایی!$3:$3)</f>
        <v>0</v>
      </c>
      <c r="C24" s="3">
        <f>SUMIF(نهایی!$1:$1,A24,نهایی!$2:$2)</f>
        <v>0</v>
      </c>
      <c r="D24" s="7">
        <v>3</v>
      </c>
      <c r="F24" s="11" t="s">
        <v>250</v>
      </c>
      <c r="G24" s="12" t="s">
        <v>200</v>
      </c>
      <c r="H24" s="48"/>
      <c r="I24" s="13" t="s">
        <v>251</v>
      </c>
      <c r="K24" s="11" t="s">
        <v>250</v>
      </c>
      <c r="L24" s="12" t="s">
        <v>200</v>
      </c>
      <c r="M24" s="48"/>
      <c r="N24" s="13" t="s">
        <v>251</v>
      </c>
    </row>
    <row r="25" spans="1:18" x14ac:dyDescent="0.45">
      <c r="A25" s="2" t="s">
        <v>29</v>
      </c>
      <c r="B25" s="3">
        <f>SUMIF(نهایی!$1:$1,A25,نهایی!$3:$3)</f>
        <v>0</v>
      </c>
      <c r="C25" s="3">
        <f>SUMIF(نهایی!$1:$1,A25,نهایی!$2:$2)</f>
        <v>0</v>
      </c>
      <c r="D25" s="7">
        <v>1</v>
      </c>
      <c r="F25" s="2" t="s">
        <v>2</v>
      </c>
      <c r="G25" s="3">
        <f>SUMIF(نهایی!$1:$1,F25,نهایی!$3:$3)</f>
        <v>0</v>
      </c>
      <c r="H25" s="3">
        <f>SUMIF(نهایی!$1:$1,F25,نهایی!$2:$2)</f>
        <v>0</v>
      </c>
      <c r="I25" s="7">
        <v>3</v>
      </c>
      <c r="K25" s="2" t="s">
        <v>3</v>
      </c>
      <c r="L25" s="3">
        <f>SUMIF(نهایی!$1:$1,K25,نهایی!$3:$3)</f>
        <v>0</v>
      </c>
      <c r="M25" s="3">
        <f>SUMIF(نهایی!$1:$1,K25,نهایی!$2:$2)</f>
        <v>0</v>
      </c>
      <c r="N25" s="7">
        <v>3</v>
      </c>
    </row>
    <row r="26" spans="1:18" ht="18.75" thickBot="1" x14ac:dyDescent="0.5">
      <c r="A26" s="4" t="s">
        <v>39</v>
      </c>
      <c r="B26" s="9">
        <f>SUMIF(نهایی!$1:$1,A26,نهایی!$3:$3)</f>
        <v>0</v>
      </c>
      <c r="C26" s="9">
        <f>SUMIF(نهایی!$1:$1,A26,نهایی!$2:$2)</f>
        <v>0</v>
      </c>
      <c r="D26" s="10">
        <v>1</v>
      </c>
      <c r="F26" s="2" t="s">
        <v>4</v>
      </c>
      <c r="G26" s="3">
        <f>SUMIF(نهایی!$1:$1,F26,نهایی!$3:$3)</f>
        <v>0</v>
      </c>
      <c r="H26" s="3">
        <f>SUMIF(نهایی!$1:$1,F26,نهایی!$2:$2)</f>
        <v>0</v>
      </c>
      <c r="I26" s="7">
        <v>3</v>
      </c>
      <c r="K26" s="2" t="s">
        <v>4</v>
      </c>
      <c r="L26" s="3">
        <f>SUMIF(نهایی!$1:$1,K26,نهایی!$3:$3)</f>
        <v>0</v>
      </c>
      <c r="M26" s="3">
        <f>SUMIF(نهایی!$1:$1,K26,نهایی!$2:$2)</f>
        <v>0</v>
      </c>
      <c r="N26" s="7">
        <v>3</v>
      </c>
    </row>
    <row r="27" spans="1:18" x14ac:dyDescent="0.45">
      <c r="F27" s="2" t="s">
        <v>5</v>
      </c>
      <c r="G27" s="3">
        <f>SUMIF(نهایی!$1:$1,F27,نهایی!$3:$3)</f>
        <v>0</v>
      </c>
      <c r="H27" s="3">
        <f>SUMIF(نهایی!$1:$1,F27,نهایی!$2:$2)</f>
        <v>0</v>
      </c>
      <c r="I27" s="8"/>
      <c r="K27" s="2" t="s">
        <v>5</v>
      </c>
      <c r="L27" s="3">
        <f>SUMIF(نهایی!$1:$1,K27,نهایی!$3:$3)</f>
        <v>0</v>
      </c>
      <c r="M27" s="3">
        <f>SUMIF(نهایی!$1:$1,K27,نهایی!$2:$2)</f>
        <v>0</v>
      </c>
      <c r="N27" s="8"/>
      <c r="P27"/>
      <c r="Q27"/>
      <c r="R27"/>
    </row>
    <row r="28" spans="1:18" ht="18.75" thickBot="1" x14ac:dyDescent="0.5">
      <c r="F28" s="2" t="s">
        <v>6</v>
      </c>
      <c r="G28" s="3">
        <f>SUMIF(نهایی!$1:$1,F28,نهایی!$3:$3)</f>
        <v>0</v>
      </c>
      <c r="H28" s="3">
        <f>SUMIF(نهایی!$1:$1,F28,نهایی!$2:$2)</f>
        <v>0</v>
      </c>
      <c r="I28" s="7">
        <v>3</v>
      </c>
      <c r="K28" s="2" t="s">
        <v>6</v>
      </c>
      <c r="L28" s="3">
        <f>SUMIF(نهایی!$1:$1,K28,نهایی!$3:$3)</f>
        <v>0</v>
      </c>
      <c r="M28" s="3">
        <f>SUMIF(نهایی!$1:$1,K28,نهایی!$2:$2)</f>
        <v>0</v>
      </c>
      <c r="N28" s="7">
        <v>3</v>
      </c>
    </row>
    <row r="29" spans="1:18" x14ac:dyDescent="0.45">
      <c r="A29" s="176" t="s">
        <v>263</v>
      </c>
      <c r="B29" s="177"/>
      <c r="C29" s="178"/>
      <c r="D29" s="179"/>
      <c r="F29" s="2" t="s">
        <v>13</v>
      </c>
      <c r="G29" s="3">
        <f>SUMIF(نهایی!$1:$1,F29,نهایی!$3:$3)</f>
        <v>0</v>
      </c>
      <c r="H29" s="3">
        <f>SUMIF(نهایی!$1:$1,F29,نهایی!$2:$2)</f>
        <v>0</v>
      </c>
      <c r="I29" s="7">
        <v>3</v>
      </c>
      <c r="K29" s="2" t="s">
        <v>13</v>
      </c>
      <c r="L29" s="3">
        <f>SUMIF(نهایی!$1:$1,K29,نهایی!$3:$3)</f>
        <v>0</v>
      </c>
      <c r="M29" s="3">
        <f>SUMIF(نهایی!$1:$1,K29,نهایی!$2:$2)</f>
        <v>0</v>
      </c>
      <c r="N29" s="7">
        <v>3</v>
      </c>
    </row>
    <row r="30" spans="1:18" x14ac:dyDescent="0.45">
      <c r="A30" s="11" t="s">
        <v>250</v>
      </c>
      <c r="B30" s="12" t="s">
        <v>200</v>
      </c>
      <c r="C30" s="48"/>
      <c r="D30" s="13" t="s">
        <v>251</v>
      </c>
      <c r="F30" s="2" t="s">
        <v>19</v>
      </c>
      <c r="G30" s="3">
        <f>SUMIF(نهایی!$1:$1,F30,نهایی!$3:$3)</f>
        <v>0</v>
      </c>
      <c r="H30" s="3">
        <f>SUMIF(نهایی!$1:$1,F30,نهایی!$2:$2)</f>
        <v>0</v>
      </c>
      <c r="I30" s="7">
        <v>1</v>
      </c>
      <c r="K30" s="2" t="s">
        <v>33</v>
      </c>
      <c r="L30" s="3">
        <f>SUMIF(نهایی!$1:$1,K30,نهایی!$3:$3)</f>
        <v>0</v>
      </c>
      <c r="M30" s="3">
        <f>SUMIF(نهایی!$1:$1,K30,نهایی!$2:$2)</f>
        <v>0</v>
      </c>
      <c r="N30" s="7">
        <v>1</v>
      </c>
      <c r="P30"/>
      <c r="Q30"/>
      <c r="R30"/>
    </row>
    <row r="31" spans="1:18" x14ac:dyDescent="0.45">
      <c r="A31" s="2" t="s">
        <v>7</v>
      </c>
      <c r="B31" s="3">
        <f>SUMIF(نهایی!$1:$1,A31,نهایی!$3:$3)</f>
        <v>0</v>
      </c>
      <c r="C31" s="3">
        <f>SUMIF(نهایی!$1:$1,A31,نهایی!$2:$2)</f>
        <v>0</v>
      </c>
      <c r="D31" s="7">
        <v>4</v>
      </c>
      <c r="F31" s="2" t="s">
        <v>24</v>
      </c>
      <c r="G31" s="3">
        <f>SUMIF(نهایی!$1:$1,F31,نهایی!$3:$3)</f>
        <v>0</v>
      </c>
      <c r="H31" s="3">
        <f>SUMIF(نهایی!$1:$1,F31,نهایی!$2:$2)</f>
        <v>0</v>
      </c>
      <c r="I31" s="7">
        <v>1</v>
      </c>
      <c r="K31" s="2" t="s">
        <v>46</v>
      </c>
      <c r="L31" s="3">
        <f>SUMIF(نهایی!$1:$1,K31,نهایی!$3:$3)</f>
        <v>0</v>
      </c>
      <c r="M31" s="3">
        <f>SUMIF(نهایی!$1:$1,K31,نهایی!$2:$2)</f>
        <v>0</v>
      </c>
      <c r="N31" s="7">
        <v>1</v>
      </c>
    </row>
    <row r="32" spans="1:18" ht="18.75" thickBot="1" x14ac:dyDescent="0.5">
      <c r="A32" s="2" t="s">
        <v>8</v>
      </c>
      <c r="B32" s="3">
        <f>SUMIF(نهایی!$1:$1,A32,نهایی!$3:$3)</f>
        <v>0</v>
      </c>
      <c r="C32" s="3">
        <f>SUMIF(نهایی!$1:$1,A32,نهایی!$2:$2)</f>
        <v>0</v>
      </c>
      <c r="D32" s="7">
        <v>4</v>
      </c>
      <c r="F32" s="4" t="s">
        <v>43</v>
      </c>
      <c r="G32" s="9">
        <f>SUMIF(نهایی!$1:$1,F32,نهایی!$3:$3)</f>
        <v>0</v>
      </c>
      <c r="H32" s="9">
        <f>SUMIF(نهایی!$1:$1,F32,نهایی!$2:$2)</f>
        <v>0</v>
      </c>
      <c r="I32" s="10">
        <v>1</v>
      </c>
      <c r="K32" s="4" t="s">
        <v>50</v>
      </c>
      <c r="L32" s="9">
        <f>SUMIF(نهایی!$1:$1,K32,نهایی!$3:$3)</f>
        <v>0</v>
      </c>
      <c r="M32" s="9">
        <f>SUMIF(نهایی!$1:$1,K32,نهایی!$2:$2)</f>
        <v>0</v>
      </c>
      <c r="N32" s="10">
        <v>1</v>
      </c>
    </row>
    <row r="33" spans="1:14" x14ac:dyDescent="0.45">
      <c r="A33" s="2" t="s">
        <v>12</v>
      </c>
      <c r="B33" s="3">
        <f>SUMIF(نهایی!$1:$1,A33,نهایی!$3:$3)</f>
        <v>0</v>
      </c>
      <c r="C33" s="3">
        <f>SUMIF(نهایی!$1:$1,A33,نهایی!$2:$2)</f>
        <v>0</v>
      </c>
      <c r="D33" s="8">
        <v>4</v>
      </c>
    </row>
    <row r="34" spans="1:14" ht="18.75" thickBot="1" x14ac:dyDescent="0.5">
      <c r="A34" s="2" t="s">
        <v>13</v>
      </c>
      <c r="B34" s="3">
        <f>SUMIF(نهایی!$1:$1,A34,نهایی!$3:$3)</f>
        <v>0</v>
      </c>
      <c r="C34" s="3">
        <f>SUMIF(نهایی!$1:$1,A34,نهایی!$2:$2)</f>
        <v>0</v>
      </c>
      <c r="D34" s="7">
        <v>4</v>
      </c>
    </row>
    <row r="35" spans="1:14" x14ac:dyDescent="0.45">
      <c r="A35" s="2" t="s">
        <v>31</v>
      </c>
      <c r="B35" s="3">
        <f>SUMIF(نهایی!$1:$1,A35,نهایی!$3:$3)</f>
        <v>0</v>
      </c>
      <c r="C35" s="3">
        <f>SUMIF(نهایی!$1:$1,A35,نهایی!$2:$2)</f>
        <v>0</v>
      </c>
      <c r="D35" s="7">
        <v>1</v>
      </c>
      <c r="F35" s="176" t="s">
        <v>254</v>
      </c>
      <c r="G35" s="177"/>
      <c r="H35" s="178"/>
      <c r="I35" s="179"/>
      <c r="K35" s="176" t="s">
        <v>254</v>
      </c>
      <c r="L35" s="177"/>
      <c r="M35" s="178"/>
      <c r="N35" s="179"/>
    </row>
    <row r="36" spans="1:14" ht="18.75" thickBot="1" x14ac:dyDescent="0.5">
      <c r="A36" s="4" t="s">
        <v>40</v>
      </c>
      <c r="B36" s="9">
        <f>SUMIF(نهایی!$1:$1,A36,نهایی!$3:$3)</f>
        <v>0</v>
      </c>
      <c r="C36" s="9">
        <f>SUMIF(نهایی!$1:$1,A36,نهایی!$2:$2)</f>
        <v>0</v>
      </c>
      <c r="D36" s="10">
        <v>1</v>
      </c>
      <c r="F36" s="11" t="s">
        <v>250</v>
      </c>
      <c r="G36" s="12" t="s">
        <v>200</v>
      </c>
      <c r="H36" s="48"/>
      <c r="I36" s="13" t="s">
        <v>251</v>
      </c>
      <c r="K36" s="11" t="s">
        <v>250</v>
      </c>
      <c r="L36" s="12" t="s">
        <v>200</v>
      </c>
      <c r="M36" s="48"/>
      <c r="N36" s="13" t="s">
        <v>251</v>
      </c>
    </row>
    <row r="37" spans="1:14" x14ac:dyDescent="0.45">
      <c r="F37" s="2" t="s">
        <v>2</v>
      </c>
      <c r="G37" s="3">
        <f>SUMIF(نهایی!$1:$1,F37,نهایی!$3:$3)</f>
        <v>0</v>
      </c>
      <c r="H37" s="3">
        <f>SUMIF(نهایی!$1:$1,F37,نهایی!$2:$2)</f>
        <v>0</v>
      </c>
      <c r="I37" s="7">
        <v>4</v>
      </c>
      <c r="K37" s="2" t="s">
        <v>3</v>
      </c>
      <c r="L37" s="3">
        <f>SUMIF(نهایی!$1:$1,K37,نهایی!$3:$3)</f>
        <v>0</v>
      </c>
      <c r="M37" s="3">
        <f>SUMIF(نهایی!$1:$1,K37,نهایی!$2:$2)</f>
        <v>0</v>
      </c>
      <c r="N37" s="7">
        <v>4</v>
      </c>
    </row>
    <row r="38" spans="1:14" ht="18.75" thickBot="1" x14ac:dyDescent="0.5">
      <c r="F38" s="2" t="s">
        <v>4</v>
      </c>
      <c r="G38" s="3">
        <f>SUMIF(نهایی!$1:$1,F38,نهایی!$3:$3)</f>
        <v>0</v>
      </c>
      <c r="H38" s="3">
        <f>SUMIF(نهایی!$1:$1,F38,نهایی!$2:$2)</f>
        <v>0</v>
      </c>
      <c r="I38" s="7">
        <v>4</v>
      </c>
      <c r="K38" s="2" t="s">
        <v>4</v>
      </c>
      <c r="L38" s="3">
        <f>SUMIF(نهایی!$1:$1,K38,نهایی!$3:$3)</f>
        <v>0</v>
      </c>
      <c r="M38" s="3">
        <f>SUMIF(نهایی!$1:$1,K38,نهایی!$2:$2)</f>
        <v>0</v>
      </c>
      <c r="N38" s="7">
        <v>4</v>
      </c>
    </row>
    <row r="39" spans="1:14" x14ac:dyDescent="0.45">
      <c r="A39" s="176" t="s">
        <v>265</v>
      </c>
      <c r="B39" s="177"/>
      <c r="C39" s="178"/>
      <c r="D39" s="179"/>
      <c r="F39" s="2" t="s">
        <v>5</v>
      </c>
      <c r="G39" s="3">
        <f>SUMIF(نهایی!$1:$1,F39,نهایی!$3:$3)</f>
        <v>0</v>
      </c>
      <c r="H39" s="3">
        <f>SUMIF(نهایی!$1:$1,F39,نهایی!$2:$2)</f>
        <v>0</v>
      </c>
      <c r="I39" s="8"/>
      <c r="K39" s="2" t="s">
        <v>5</v>
      </c>
      <c r="L39" s="3">
        <f>SUMIF(نهایی!$1:$1,K39,نهایی!$3:$3)</f>
        <v>0</v>
      </c>
      <c r="M39" s="3">
        <f>SUMIF(نهایی!$1:$1,K39,نهایی!$2:$2)</f>
        <v>0</v>
      </c>
      <c r="N39" s="8"/>
    </row>
    <row r="40" spans="1:14" x14ac:dyDescent="0.45">
      <c r="A40" s="11" t="s">
        <v>250</v>
      </c>
      <c r="B40" s="12" t="s">
        <v>200</v>
      </c>
      <c r="C40" s="48"/>
      <c r="D40" s="13" t="s">
        <v>251</v>
      </c>
      <c r="F40" s="2" t="s">
        <v>6</v>
      </c>
      <c r="G40" s="3">
        <f>SUMIF(نهایی!$1:$1,F40,نهایی!$3:$3)</f>
        <v>0</v>
      </c>
      <c r="H40" s="3">
        <f>SUMIF(نهایی!$1:$1,F40,نهایی!$2:$2)</f>
        <v>0</v>
      </c>
      <c r="I40" s="7">
        <v>4</v>
      </c>
      <c r="K40" s="2" t="s">
        <v>6</v>
      </c>
      <c r="L40" s="3">
        <f>SUMIF(نهایی!$1:$1,K40,نهایی!$3:$3)</f>
        <v>0</v>
      </c>
      <c r="M40" s="3">
        <f>SUMIF(نهایی!$1:$1,K40,نهایی!$2:$2)</f>
        <v>0</v>
      </c>
      <c r="N40" s="7">
        <v>4</v>
      </c>
    </row>
    <row r="41" spans="1:14" x14ac:dyDescent="0.45">
      <c r="A41" s="2" t="s">
        <v>7</v>
      </c>
      <c r="B41" s="3">
        <f>SUMIF(نهایی!$1:$1,A41,نهایی!$3:$3)</f>
        <v>0</v>
      </c>
      <c r="C41" s="3">
        <f>SUMIF(نهایی!$1:$1,A41,نهایی!$2:$2)</f>
        <v>0</v>
      </c>
      <c r="D41" s="7">
        <v>1</v>
      </c>
      <c r="F41" s="2" t="s">
        <v>13</v>
      </c>
      <c r="G41" s="3">
        <f>SUMIF(نهایی!$1:$1,F41,نهایی!$3:$3)</f>
        <v>0</v>
      </c>
      <c r="H41" s="3">
        <f>SUMIF(نهایی!$1:$1,F41,نهایی!$2:$2)</f>
        <v>0</v>
      </c>
      <c r="I41" s="7">
        <v>4</v>
      </c>
      <c r="K41" s="2" t="s">
        <v>13</v>
      </c>
      <c r="L41" s="3">
        <f>SUMIF(نهایی!$1:$1,K41,نهایی!$3:$3)</f>
        <v>0</v>
      </c>
      <c r="M41" s="3">
        <f>SUMIF(نهایی!$1:$1,K41,نهایی!$2:$2)</f>
        <v>0</v>
      </c>
      <c r="N41" s="7">
        <v>4</v>
      </c>
    </row>
    <row r="42" spans="1:14" x14ac:dyDescent="0.45">
      <c r="A42" s="2" t="s">
        <v>8</v>
      </c>
      <c r="B42" s="3">
        <f>SUMIF(نهایی!$1:$1,A42,نهایی!$3:$3)</f>
        <v>0</v>
      </c>
      <c r="C42" s="3">
        <f>SUMIF(نهایی!$1:$1,A42,نهایی!$2:$2)</f>
        <v>0</v>
      </c>
      <c r="D42" s="7">
        <v>1</v>
      </c>
      <c r="F42" s="2" t="s">
        <v>21</v>
      </c>
      <c r="G42" s="3">
        <f>SUMIF(نهایی!$1:$1,F42,نهایی!$3:$3)</f>
        <v>0</v>
      </c>
      <c r="H42" s="3">
        <f>SUMIF(نهایی!$1:$1,F42,نهایی!$2:$2)</f>
        <v>0</v>
      </c>
      <c r="I42" s="7">
        <v>1</v>
      </c>
      <c r="K42" s="2" t="s">
        <v>34</v>
      </c>
      <c r="L42" s="3">
        <f>SUMIF(نهایی!$1:$1,K42,نهایی!$3:$3)</f>
        <v>0</v>
      </c>
      <c r="M42" s="3">
        <f>SUMIF(نهایی!$1:$1,K42,نهایی!$2:$2)</f>
        <v>0</v>
      </c>
      <c r="N42" s="7">
        <v>1</v>
      </c>
    </row>
    <row r="43" spans="1:14" x14ac:dyDescent="0.45">
      <c r="A43" s="2" t="s">
        <v>12</v>
      </c>
      <c r="B43" s="3">
        <f>SUMIF(نهایی!$1:$1,A43,نهایی!$3:$3)</f>
        <v>0</v>
      </c>
      <c r="C43" s="3">
        <f>SUMIF(نهایی!$1:$1,A43,نهایی!$2:$2)</f>
        <v>0</v>
      </c>
      <c r="D43" s="8">
        <v>1</v>
      </c>
      <c r="F43" s="2" t="s">
        <v>25</v>
      </c>
      <c r="G43" s="3">
        <f>SUMIF(نهایی!$1:$1,F43,نهایی!$3:$3)</f>
        <v>0</v>
      </c>
      <c r="H43" s="3">
        <f>SUMIF(نهایی!$1:$1,F43,نهایی!$2:$2)</f>
        <v>0</v>
      </c>
      <c r="I43" s="7">
        <v>1</v>
      </c>
      <c r="K43" s="2" t="s">
        <v>35</v>
      </c>
      <c r="L43" s="3">
        <f>SUMIF(نهایی!$1:$1,K43,نهایی!$3:$3)</f>
        <v>0</v>
      </c>
      <c r="M43" s="3">
        <f>SUMIF(نهایی!$1:$1,K43,نهایی!$2:$2)</f>
        <v>0</v>
      </c>
      <c r="N43" s="7">
        <v>1</v>
      </c>
    </row>
    <row r="44" spans="1:14" ht="18.75" thickBot="1" x14ac:dyDescent="0.5">
      <c r="A44" s="2" t="s">
        <v>13</v>
      </c>
      <c r="B44" s="3">
        <f>SUMIF(نهایی!$1:$1,A44,نهایی!$3:$3)</f>
        <v>0</v>
      </c>
      <c r="C44" s="3">
        <f>SUMIF(نهایی!$1:$1,A44,نهایی!$2:$2)</f>
        <v>0</v>
      </c>
      <c r="D44" s="7">
        <v>1</v>
      </c>
      <c r="F44" s="4" t="s">
        <v>44</v>
      </c>
      <c r="G44" s="9">
        <f>SUMIF(نهایی!$1:$1,F44,نهایی!$3:$3)</f>
        <v>0</v>
      </c>
      <c r="H44" s="9">
        <f>SUMIF(نهایی!$1:$1,F44,نهایی!$2:$2)</f>
        <v>0</v>
      </c>
      <c r="I44" s="10">
        <v>1</v>
      </c>
      <c r="K44" s="2" t="s">
        <v>47</v>
      </c>
      <c r="L44" s="3">
        <f>SUMIF(نهایی!$1:$1,K44,نهایی!$3:$3)</f>
        <v>0</v>
      </c>
      <c r="M44" s="3">
        <f>SUMIF(نهایی!$1:$1,K44,نهایی!$2:$2)</f>
        <v>0</v>
      </c>
      <c r="N44" s="7"/>
    </row>
    <row r="45" spans="1:14" ht="18.75" thickBot="1" x14ac:dyDescent="0.5">
      <c r="A45" s="2" t="s">
        <v>27</v>
      </c>
      <c r="B45" s="3">
        <f>SUMIF(نهایی!$1:$1,A45,نهایی!$3:$3)</f>
        <v>0</v>
      </c>
      <c r="C45" s="3">
        <f>SUMIF(نهایی!$1:$1,A45,نهایی!$2:$2)</f>
        <v>0</v>
      </c>
      <c r="D45" s="7">
        <v>1</v>
      </c>
      <c r="K45" s="4" t="s">
        <v>51</v>
      </c>
      <c r="L45" s="9">
        <f>SUMIF(نهایی!$1:$1,K45,نهایی!$3:$3)</f>
        <v>0</v>
      </c>
      <c r="M45" s="9">
        <f>SUMIF(نهایی!$1:$1,K45,نهایی!$2:$2)</f>
        <v>0</v>
      </c>
      <c r="N45" s="10">
        <v>1</v>
      </c>
    </row>
    <row r="46" spans="1:14" ht="18.75" thickBot="1" x14ac:dyDescent="0.5">
      <c r="A46" s="4" t="s">
        <v>37</v>
      </c>
      <c r="B46" s="9">
        <f>SUMIF(نهایی!$1:$1,A46,نهایی!$3:$3)</f>
        <v>0</v>
      </c>
      <c r="C46" s="9">
        <f>SUMIF(نهایی!$1:$1,A46,نهایی!$2:$2)</f>
        <v>0</v>
      </c>
      <c r="D46" s="10">
        <v>1</v>
      </c>
    </row>
    <row r="47" spans="1:14" ht="18.75" thickBot="1" x14ac:dyDescent="0.5">
      <c r="F47" s="6" t="s">
        <v>10</v>
      </c>
      <c r="G47" s="6">
        <v>36</v>
      </c>
      <c r="H47" s="6"/>
    </row>
    <row r="48" spans="1:14" x14ac:dyDescent="0.45">
      <c r="A48" s="176" t="s">
        <v>264</v>
      </c>
      <c r="B48" s="177"/>
      <c r="C48" s="178"/>
      <c r="D48" s="179"/>
    </row>
    <row r="49" spans="1:8" x14ac:dyDescent="0.45">
      <c r="A49" s="11" t="s">
        <v>250</v>
      </c>
      <c r="B49" s="12" t="s">
        <v>200</v>
      </c>
      <c r="C49" s="48"/>
      <c r="D49" s="13" t="s">
        <v>251</v>
      </c>
    </row>
    <row r="50" spans="1:8" x14ac:dyDescent="0.45">
      <c r="A50" s="2" t="s">
        <v>7</v>
      </c>
      <c r="B50" s="3">
        <f>SUMIF(نهایی!$1:$1,A50,نهایی!$3:$3)</f>
        <v>0</v>
      </c>
      <c r="C50" s="3">
        <f>SUMIF(نهایی!$1:$1,A50,نهایی!$2:$2)</f>
        <v>0</v>
      </c>
      <c r="D50" s="7">
        <v>3</v>
      </c>
    </row>
    <row r="51" spans="1:8" x14ac:dyDescent="0.45">
      <c r="A51" s="2" t="s">
        <v>8</v>
      </c>
      <c r="B51" s="3">
        <f>SUMIF(نهایی!$1:$1,A51,نهایی!$3:$3)</f>
        <v>0</v>
      </c>
      <c r="C51" s="3">
        <f>SUMIF(نهایی!$1:$1,A51,نهایی!$2:$2)</f>
        <v>0</v>
      </c>
      <c r="D51" s="7">
        <v>3</v>
      </c>
    </row>
    <row r="52" spans="1:8" x14ac:dyDescent="0.45">
      <c r="A52" s="2" t="s">
        <v>12</v>
      </c>
      <c r="B52" s="3">
        <f>SUMIF(نهایی!$1:$1,A52,نهایی!$3:$3)</f>
        <v>0</v>
      </c>
      <c r="C52" s="3">
        <f>SUMIF(نهایی!$1:$1,A52,نهایی!$2:$2)</f>
        <v>0</v>
      </c>
      <c r="D52" s="8">
        <v>3</v>
      </c>
    </row>
    <row r="53" spans="1:8" x14ac:dyDescent="0.45">
      <c r="A53" s="2" t="s">
        <v>13</v>
      </c>
      <c r="B53" s="3">
        <f>SUMIF(نهایی!$1:$1,A53,نهایی!$3:$3)</f>
        <v>0</v>
      </c>
      <c r="C53" s="3">
        <f>SUMIF(نهایی!$1:$1,A53,نهایی!$2:$2)</f>
        <v>0</v>
      </c>
      <c r="D53" s="7">
        <v>3</v>
      </c>
    </row>
    <row r="54" spans="1:8" x14ac:dyDescent="0.45">
      <c r="A54" s="2" t="s">
        <v>30</v>
      </c>
      <c r="B54" s="3">
        <f>SUMIF(نهایی!$1:$1,A54,نهایی!$3:$3)</f>
        <v>0</v>
      </c>
      <c r="C54" s="3">
        <f>SUMIF(نهایی!$1:$1,A54,نهایی!$2:$2)</f>
        <v>0</v>
      </c>
      <c r="D54" s="7">
        <v>1</v>
      </c>
    </row>
    <row r="55" spans="1:8" ht="18.75" thickBot="1" x14ac:dyDescent="0.5">
      <c r="A55" s="4" t="s">
        <v>39</v>
      </c>
      <c r="B55" s="9">
        <f>SUMIF(نهایی!$1:$1,A55,نهایی!$3:$3)</f>
        <v>0</v>
      </c>
      <c r="C55" s="9">
        <f>SUMIF(نهایی!$1:$1,A55,نهایی!$2:$2)</f>
        <v>0</v>
      </c>
      <c r="D55" s="10">
        <v>1</v>
      </c>
    </row>
    <row r="62" spans="1:8" x14ac:dyDescent="0.45">
      <c r="F62" s="6"/>
      <c r="G62" s="6"/>
      <c r="H62" s="6"/>
    </row>
  </sheetData>
  <mergeCells count="17">
    <mergeCell ref="F35:I35"/>
    <mergeCell ref="P1:S1"/>
    <mergeCell ref="P7:S7"/>
    <mergeCell ref="A48:D48"/>
    <mergeCell ref="K35:N35"/>
    <mergeCell ref="A29:D29"/>
    <mergeCell ref="A39:D39"/>
    <mergeCell ref="V1:Y1"/>
    <mergeCell ref="A1:D1"/>
    <mergeCell ref="K1:N1"/>
    <mergeCell ref="K11:N11"/>
    <mergeCell ref="K23:N23"/>
    <mergeCell ref="A10:D10"/>
    <mergeCell ref="A19:D19"/>
    <mergeCell ref="F1:I1"/>
    <mergeCell ref="F12:I12"/>
    <mergeCell ref="F23:I23"/>
  </mergeCells>
  <pageMargins left="0.7" right="0.7" top="0.75" bottom="0.75" header="0.3" footer="0.3"/>
  <pageSetup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D17"/>
  <sheetViews>
    <sheetView zoomScale="115" zoomScaleNormal="115" workbookViewId="0">
      <selection sqref="A1:J6"/>
    </sheetView>
  </sheetViews>
  <sheetFormatPr defaultRowHeight="15" x14ac:dyDescent="0.25"/>
  <cols>
    <col min="1" max="1" width="53.7109375" bestFit="1" customWidth="1"/>
    <col min="4" max="4" width="9.140625" style="1"/>
    <col min="6" max="6" width="6.7109375" customWidth="1"/>
  </cols>
  <sheetData>
    <row r="1" spans="1:4" ht="18" x14ac:dyDescent="0.45">
      <c r="A1" s="176" t="s">
        <v>257</v>
      </c>
      <c r="B1" s="177"/>
      <c r="C1" s="178"/>
      <c r="D1" s="179"/>
    </row>
    <row r="2" spans="1:4" ht="18" x14ac:dyDescent="0.45">
      <c r="A2" s="11" t="s">
        <v>250</v>
      </c>
      <c r="B2" s="12" t="s">
        <v>200</v>
      </c>
      <c r="C2" s="48" t="s">
        <v>286</v>
      </c>
      <c r="D2" s="14" t="s">
        <v>251</v>
      </c>
    </row>
    <row r="3" spans="1:4" ht="18" x14ac:dyDescent="0.45">
      <c r="A3" s="2" t="s">
        <v>58</v>
      </c>
      <c r="B3" s="3">
        <f>SUMIF(نهایی!$1:$1,A3,نهایی!$3:$3)</f>
        <v>0</v>
      </c>
      <c r="C3" s="3">
        <f>SUMIF(نهایی!$1:$1,A3,نهایی!$2:$2)</f>
        <v>0</v>
      </c>
      <c r="D3" s="15">
        <v>1</v>
      </c>
    </row>
    <row r="4" spans="1:4" ht="18" x14ac:dyDescent="0.45">
      <c r="A4" s="2" t="s">
        <v>59</v>
      </c>
      <c r="B4" s="3">
        <f>SUMIF(نهایی!$1:$1,A4,نهایی!$3:$3)</f>
        <v>0</v>
      </c>
      <c r="C4" s="49">
        <f>SUMIF(نهایی!$1:$1,A4,نهایی!$2:$2)</f>
        <v>0</v>
      </c>
      <c r="D4" s="15">
        <v>3</v>
      </c>
    </row>
    <row r="5" spans="1:4" ht="18" x14ac:dyDescent="0.45">
      <c r="A5" s="2" t="s">
        <v>60</v>
      </c>
      <c r="B5" s="3">
        <f>SUMIF(نهایی!$1:$1,A5,نهایی!$3:$3)</f>
        <v>0</v>
      </c>
      <c r="C5" s="49">
        <f>SUMIF(نهایی!$1:$1,A5,نهایی!$2:$2)</f>
        <v>0</v>
      </c>
      <c r="D5" s="15">
        <v>1</v>
      </c>
    </row>
    <row r="6" spans="1:4" ht="18" x14ac:dyDescent="0.45">
      <c r="A6" s="2" t="s">
        <v>61</v>
      </c>
      <c r="B6" s="3">
        <f>SUMIF(نهایی!$1:$1,A6,نهایی!$3:$3)</f>
        <v>0</v>
      </c>
      <c r="C6" s="49">
        <f>SUMIF(نهایی!$1:$1,A6,نهایی!$2:$2)</f>
        <v>0</v>
      </c>
      <c r="D6" s="15">
        <v>1</v>
      </c>
    </row>
    <row r="7" spans="1:4" ht="18" x14ac:dyDescent="0.45">
      <c r="A7" s="2" t="s">
        <v>62</v>
      </c>
      <c r="B7" s="3">
        <f>SUMIF(نهایی!$1:$1,A7,نهایی!$3:$3)</f>
        <v>0</v>
      </c>
      <c r="C7" s="49">
        <f>SUMIF(نهایی!$1:$1,A7,نهایی!$2:$2)</f>
        <v>0</v>
      </c>
      <c r="D7" s="15">
        <v>1</v>
      </c>
    </row>
    <row r="8" spans="1:4" ht="18" x14ac:dyDescent="0.45">
      <c r="A8" s="2" t="s">
        <v>63</v>
      </c>
      <c r="B8" s="3">
        <f>SUMIF(نهایی!$1:$1,A8,نهایی!$3:$3)</f>
        <v>0</v>
      </c>
      <c r="C8" s="49">
        <f>SUMIF(نهایی!$1:$1,A8,نهایی!$2:$2)</f>
        <v>0</v>
      </c>
      <c r="D8" s="15">
        <v>1</v>
      </c>
    </row>
    <row r="9" spans="1:4" ht="18" x14ac:dyDescent="0.45">
      <c r="A9" s="2" t="s">
        <v>64</v>
      </c>
      <c r="B9" s="3">
        <f>SUMIF(نهایی!$1:$1,A9,نهایی!$3:$3)</f>
        <v>0</v>
      </c>
      <c r="C9" s="49">
        <f>SUMIF(نهایی!$1:$1,A9,نهایی!$2:$2)</f>
        <v>0</v>
      </c>
      <c r="D9" s="15">
        <v>1</v>
      </c>
    </row>
    <row r="10" spans="1:4" ht="18" x14ac:dyDescent="0.45">
      <c r="A10" s="2" t="s">
        <v>65</v>
      </c>
      <c r="B10" s="3">
        <f>SUMIF(نهایی!$1:$1,A10,نهایی!$3:$3)</f>
        <v>0</v>
      </c>
      <c r="C10" s="49">
        <f>SUMIF(نهایی!$1:$1,A10,نهایی!$2:$2)</f>
        <v>0</v>
      </c>
      <c r="D10" s="15">
        <v>1</v>
      </c>
    </row>
    <row r="11" spans="1:4" ht="18" x14ac:dyDescent="0.45">
      <c r="A11" s="2" t="s">
        <v>66</v>
      </c>
      <c r="B11" s="3">
        <f>SUMIF(نهایی!$1:$1,A11,نهایی!$3:$3)</f>
        <v>0</v>
      </c>
      <c r="C11" s="49">
        <f>SUMIF(نهایی!$1:$1,A11,نهایی!$2:$2)</f>
        <v>0</v>
      </c>
      <c r="D11" s="15">
        <v>1</v>
      </c>
    </row>
    <row r="12" spans="1:4" ht="18" x14ac:dyDescent="0.45">
      <c r="A12" s="2" t="s">
        <v>67</v>
      </c>
      <c r="B12" s="3">
        <f>SUMIF(نهایی!$1:$1,A12,نهایی!$3:$3)</f>
        <v>0</v>
      </c>
      <c r="C12" s="49">
        <f>SUMIF(نهایی!$1:$1,A12,نهایی!$2:$2)</f>
        <v>0</v>
      </c>
      <c r="D12" s="15">
        <v>1</v>
      </c>
    </row>
    <row r="13" spans="1:4" ht="18" x14ac:dyDescent="0.45">
      <c r="A13" s="2" t="s">
        <v>68</v>
      </c>
      <c r="B13" s="3">
        <f>SUMIF(نهایی!$1:$1,A13,نهایی!$3:$3)</f>
        <v>0</v>
      </c>
      <c r="C13" s="49">
        <f>SUMIF(نهایی!$1:$1,A13,نهایی!$2:$2)</f>
        <v>0</v>
      </c>
      <c r="D13" s="15">
        <v>1</v>
      </c>
    </row>
    <row r="14" spans="1:4" ht="18" x14ac:dyDescent="0.45">
      <c r="A14" s="2" t="s">
        <v>69</v>
      </c>
      <c r="B14" s="3">
        <f>SUMIF(نهایی!$1:$1,A14,نهایی!$3:$3)</f>
        <v>0</v>
      </c>
      <c r="C14" s="49">
        <f>SUMIF(نهایی!$1:$1,A14,نهایی!$2:$2)</f>
        <v>0</v>
      </c>
      <c r="D14" s="15">
        <v>1</v>
      </c>
    </row>
    <row r="15" spans="1:4" ht="18" x14ac:dyDescent="0.45">
      <c r="A15" s="2" t="s">
        <v>70</v>
      </c>
      <c r="B15" s="3">
        <f>SUMIF(نهایی!$1:$1,A15,نهایی!$3:$3)</f>
        <v>0</v>
      </c>
      <c r="C15" s="49">
        <f>SUMIF(نهایی!$1:$1,A15,نهایی!$2:$2)</f>
        <v>0</v>
      </c>
      <c r="D15" s="15">
        <v>1</v>
      </c>
    </row>
    <row r="16" spans="1:4" ht="18" x14ac:dyDescent="0.45">
      <c r="A16" s="2" t="s">
        <v>220</v>
      </c>
      <c r="B16" s="3">
        <f>SUMIF(نهایی!$1:$1,A16,نهایی!$3:$3)</f>
        <v>0</v>
      </c>
      <c r="C16" s="49">
        <f>SUMIF(نهایی!$1:$1,A16,نهایی!$2:$2)</f>
        <v>0</v>
      </c>
      <c r="D16" s="15">
        <v>1</v>
      </c>
    </row>
    <row r="17" spans="1:4" ht="18.75" thickBot="1" x14ac:dyDescent="0.5">
      <c r="A17" s="4" t="s">
        <v>221</v>
      </c>
      <c r="B17" s="9">
        <f>SUMIF(نهایی!$1:$1,A17,نهایی!$3:$3)</f>
        <v>0</v>
      </c>
      <c r="C17" s="50">
        <f>SUMIF(نهایی!$1:$1,A17,نهایی!$2:$2)</f>
        <v>0</v>
      </c>
      <c r="D17" s="16">
        <v>1</v>
      </c>
    </row>
  </sheetData>
  <mergeCells count="1">
    <mergeCell ref="A1:D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K27"/>
  <sheetViews>
    <sheetView topLeftCell="B1" zoomScaleNormal="100" workbookViewId="0">
      <selection sqref="A1:J6"/>
    </sheetView>
  </sheetViews>
  <sheetFormatPr defaultRowHeight="15" x14ac:dyDescent="0.25"/>
  <cols>
    <col min="1" max="1" width="67.28515625" bestFit="1" customWidth="1"/>
    <col min="6" max="6" width="80.28515625" bestFit="1" customWidth="1"/>
    <col min="7" max="7" width="10.28515625" bestFit="1" customWidth="1"/>
    <col min="8" max="8" width="10.28515625" customWidth="1"/>
  </cols>
  <sheetData>
    <row r="1" spans="1:9" ht="18" x14ac:dyDescent="0.25">
      <c r="A1" s="180" t="s">
        <v>266</v>
      </c>
      <c r="B1" s="181"/>
      <c r="C1" s="182"/>
      <c r="D1" s="183"/>
      <c r="E1" s="27"/>
      <c r="F1" s="180" t="s">
        <v>266</v>
      </c>
      <c r="G1" s="181"/>
      <c r="H1" s="182"/>
      <c r="I1" s="183"/>
    </row>
    <row r="2" spans="1:9" ht="18.75" thickBot="1" x14ac:dyDescent="0.3">
      <c r="A2" s="18" t="s">
        <v>250</v>
      </c>
      <c r="B2" s="19" t="s">
        <v>200</v>
      </c>
      <c r="C2" s="51"/>
      <c r="D2" s="17" t="s">
        <v>251</v>
      </c>
      <c r="E2" s="27"/>
      <c r="F2" s="18" t="s">
        <v>250</v>
      </c>
      <c r="G2" s="19" t="s">
        <v>200</v>
      </c>
      <c r="H2" s="51"/>
      <c r="I2" s="17" t="s">
        <v>251</v>
      </c>
    </row>
    <row r="3" spans="1:9" ht="18" x14ac:dyDescent="0.45">
      <c r="A3" s="24" t="s">
        <v>71</v>
      </c>
      <c r="B3" s="3">
        <f>SUMIF(نهایی!$1:$1,A3,نهایی!$3:$3)</f>
        <v>0</v>
      </c>
      <c r="C3" s="3">
        <f>SUMIF(نهایی!$1:$1,A3,نهایی!$2:$2)</f>
        <v>0</v>
      </c>
      <c r="D3" s="21">
        <v>1</v>
      </c>
      <c r="E3" s="27"/>
      <c r="F3" s="28" t="s">
        <v>84</v>
      </c>
      <c r="G3" s="3">
        <f>SUMIF(نهایی!$1:$1,F3,نهایی!$3:$3)</f>
        <v>0</v>
      </c>
      <c r="H3" s="3">
        <f>SUMIF(نهایی!$1:$1,F3,نهایی!$2:$2)</f>
        <v>0</v>
      </c>
      <c r="I3" s="30">
        <v>1</v>
      </c>
    </row>
    <row r="4" spans="1:9" ht="18" x14ac:dyDescent="0.45">
      <c r="A4" s="25" t="s">
        <v>72</v>
      </c>
      <c r="B4" s="22">
        <f>SUMIF(نهایی!$1:$1,A4,نهایی!$3:$3)</f>
        <v>0</v>
      </c>
      <c r="C4" s="55">
        <f>SUMIF(نهایی!$1:$1,A4,نهایی!$2:$2)</f>
        <v>0</v>
      </c>
      <c r="D4" s="15">
        <v>1</v>
      </c>
      <c r="E4" s="27"/>
      <c r="F4" s="31" t="s">
        <v>86</v>
      </c>
      <c r="G4" s="32">
        <f>SUMIF(نهایی!$1:$1,F4,نهایی!$3:$3)</f>
        <v>0</v>
      </c>
      <c r="H4" s="53">
        <f>SUMIF(نهایی!$1:$1,F4,نهایی!$2:$2)</f>
        <v>0</v>
      </c>
      <c r="I4" s="33">
        <v>1</v>
      </c>
    </row>
    <row r="5" spans="1:9" ht="18" x14ac:dyDescent="0.45">
      <c r="A5" s="25" t="s">
        <v>73</v>
      </c>
      <c r="B5" s="22">
        <f>SUMIF(نهایی!$1:$1,A5,نهایی!$3:$3)</f>
        <v>0</v>
      </c>
      <c r="C5" s="55">
        <f>SUMIF(نهایی!$1:$1,A5,نهایی!$2:$2)</f>
        <v>0</v>
      </c>
      <c r="D5" s="15">
        <v>1</v>
      </c>
      <c r="E5" s="27"/>
      <c r="F5" s="31" t="s">
        <v>88</v>
      </c>
      <c r="G5" s="32">
        <f>SUMIF(نهایی!$1:$1,F5,نهایی!$3:$3)</f>
        <v>0</v>
      </c>
      <c r="H5" s="53">
        <f>SUMIF(نهایی!$1:$1,F5,نهایی!$2:$2)</f>
        <v>0</v>
      </c>
      <c r="I5" s="33">
        <v>1</v>
      </c>
    </row>
    <row r="6" spans="1:9" ht="18" x14ac:dyDescent="0.45">
      <c r="A6" s="25" t="s">
        <v>74</v>
      </c>
      <c r="B6" s="22">
        <f>SUMIF(نهایی!$1:$1,A6,نهایی!$3:$3)</f>
        <v>0</v>
      </c>
      <c r="C6" s="55">
        <f>SUMIF(نهایی!$1:$1,A6,نهایی!$2:$2)</f>
        <v>0</v>
      </c>
      <c r="D6" s="15">
        <v>1</v>
      </c>
      <c r="E6" s="27"/>
      <c r="F6" s="31" t="s">
        <v>222</v>
      </c>
      <c r="G6" s="32">
        <f>SUMIF(نهایی!$1:$1,F6,نهایی!$3:$3)</f>
        <v>0</v>
      </c>
      <c r="H6" s="53">
        <f>SUMIF(نهایی!$1:$1,F6,نهایی!$2:$2)</f>
        <v>0</v>
      </c>
      <c r="I6" s="33">
        <v>1</v>
      </c>
    </row>
    <row r="7" spans="1:9" ht="18" x14ac:dyDescent="0.45">
      <c r="A7" s="25" t="s">
        <v>75</v>
      </c>
      <c r="B7" s="22">
        <f>SUMIF(نهایی!$1:$1,A7,نهایی!$3:$3)</f>
        <v>0</v>
      </c>
      <c r="C7" s="55">
        <f>SUMIF(نهایی!$1:$1,A7,نهایی!$2:$2)</f>
        <v>0</v>
      </c>
      <c r="D7" s="15">
        <v>1</v>
      </c>
      <c r="E7" s="27"/>
      <c r="F7" s="31" t="s">
        <v>223</v>
      </c>
      <c r="G7" s="32">
        <f>SUMIF(نهایی!$1:$1,F7,نهایی!$3:$3)</f>
        <v>0</v>
      </c>
      <c r="H7" s="53">
        <f>SUMIF(نهایی!$1:$1,F7,نهایی!$2:$2)</f>
        <v>0</v>
      </c>
      <c r="I7" s="33">
        <v>1</v>
      </c>
    </row>
    <row r="8" spans="1:9" ht="18" x14ac:dyDescent="0.45">
      <c r="A8" s="25" t="s">
        <v>76</v>
      </c>
      <c r="B8" s="22">
        <f>SUMIF(نهایی!$1:$1,A8,نهایی!$3:$3)</f>
        <v>0</v>
      </c>
      <c r="C8" s="55">
        <f>SUMIF(نهایی!$1:$1,A8,نهایی!$2:$2)</f>
        <v>0</v>
      </c>
      <c r="D8" s="15">
        <v>1</v>
      </c>
      <c r="E8" s="27"/>
      <c r="F8" s="31" t="s">
        <v>224</v>
      </c>
      <c r="G8" s="32">
        <f>SUMIF(نهایی!$1:$1,F8,نهایی!$3:$3)</f>
        <v>0</v>
      </c>
      <c r="H8" s="53">
        <f>SUMIF(نهایی!$1:$1,F8,نهایی!$2:$2)</f>
        <v>0</v>
      </c>
      <c r="I8" s="33">
        <v>1</v>
      </c>
    </row>
    <row r="9" spans="1:9" ht="18" x14ac:dyDescent="0.45">
      <c r="A9" s="25" t="s">
        <v>77</v>
      </c>
      <c r="B9" s="22">
        <f>SUMIF(نهایی!$1:$1,A9,نهایی!$3:$3)</f>
        <v>0</v>
      </c>
      <c r="C9" s="55">
        <f>SUMIF(نهایی!$1:$1,A9,نهایی!$2:$2)</f>
        <v>0</v>
      </c>
      <c r="D9" s="15">
        <v>1</v>
      </c>
      <c r="E9" s="27"/>
      <c r="F9" s="31" t="s">
        <v>225</v>
      </c>
      <c r="G9" s="32">
        <f>SUMIF(نهایی!$1:$1,F9,نهایی!$3:$3)</f>
        <v>0</v>
      </c>
      <c r="H9" s="53">
        <f>SUMIF(نهایی!$1:$1,F9,نهایی!$2:$2)</f>
        <v>0</v>
      </c>
      <c r="I9" s="33">
        <v>1</v>
      </c>
    </row>
    <row r="10" spans="1:9" ht="18" x14ac:dyDescent="0.45">
      <c r="A10" s="25" t="s">
        <v>78</v>
      </c>
      <c r="B10" s="22">
        <f>SUMIF(نهایی!$1:$1,A10,نهایی!$3:$3)</f>
        <v>0</v>
      </c>
      <c r="C10" s="55">
        <f>SUMIF(نهایی!$1:$1,A10,نهایی!$2:$2)</f>
        <v>0</v>
      </c>
      <c r="D10" s="15">
        <v>1</v>
      </c>
      <c r="E10" s="27"/>
      <c r="F10" s="31" t="s">
        <v>226</v>
      </c>
      <c r="G10" s="32">
        <f>SUMIF(نهایی!$1:$1,F10,نهایی!$3:$3)</f>
        <v>0</v>
      </c>
      <c r="H10" s="53">
        <f>SUMIF(نهایی!$1:$1,F10,نهایی!$2:$2)</f>
        <v>0</v>
      </c>
      <c r="I10" s="33">
        <v>1</v>
      </c>
    </row>
    <row r="11" spans="1:9" ht="18" x14ac:dyDescent="0.45">
      <c r="A11" s="25" t="s">
        <v>79</v>
      </c>
      <c r="B11" s="22">
        <f>SUMIF(نهایی!$1:$1,A11,نهایی!$3:$3)</f>
        <v>0</v>
      </c>
      <c r="C11" s="55">
        <f>SUMIF(نهایی!$1:$1,A11,نهایی!$2:$2)</f>
        <v>0</v>
      </c>
      <c r="D11" s="15">
        <v>1</v>
      </c>
      <c r="E11" s="27"/>
      <c r="F11" s="31" t="s">
        <v>227</v>
      </c>
      <c r="G11" s="32">
        <f>SUMIF(نهایی!$1:$1,F11,نهایی!$3:$3)</f>
        <v>0</v>
      </c>
      <c r="H11" s="53">
        <f>SUMIF(نهایی!$1:$1,F11,نهایی!$2:$2)</f>
        <v>0</v>
      </c>
      <c r="I11" s="33">
        <v>1</v>
      </c>
    </row>
    <row r="12" spans="1:9" ht="18" x14ac:dyDescent="0.45">
      <c r="A12" s="25" t="s">
        <v>80</v>
      </c>
      <c r="B12" s="22">
        <f>SUMIF(نهایی!$1:$1,A12,نهایی!$3:$3)</f>
        <v>0</v>
      </c>
      <c r="C12" s="55">
        <f>SUMIF(نهایی!$1:$1,A12,نهایی!$2:$2)</f>
        <v>0</v>
      </c>
      <c r="D12" s="15">
        <v>1</v>
      </c>
      <c r="E12" s="27"/>
      <c r="F12" s="31" t="s">
        <v>228</v>
      </c>
      <c r="G12" s="32">
        <f>SUMIF(نهایی!$1:$1,F12,نهایی!$3:$3)</f>
        <v>0</v>
      </c>
      <c r="H12" s="53">
        <f>SUMIF(نهایی!$1:$1,F12,نهایی!$2:$2)</f>
        <v>0</v>
      </c>
      <c r="I12" s="33">
        <v>1</v>
      </c>
    </row>
    <row r="13" spans="1:9" ht="18" x14ac:dyDescent="0.45">
      <c r="A13" s="25" t="s">
        <v>81</v>
      </c>
      <c r="B13" s="22">
        <f>SUMIF(نهایی!$1:$1,A13,نهایی!$3:$3)</f>
        <v>0</v>
      </c>
      <c r="C13" s="55">
        <f>SUMIF(نهایی!$1:$1,A13,نهایی!$2:$2)</f>
        <v>0</v>
      </c>
      <c r="D13" s="15">
        <v>1</v>
      </c>
      <c r="E13" s="27"/>
      <c r="F13" s="31" t="s">
        <v>248</v>
      </c>
      <c r="G13" s="32">
        <f>SUMIF(نهایی!$1:$1,F13,نهایی!$3:$3)</f>
        <v>0</v>
      </c>
      <c r="H13" s="53">
        <f>SUMIF(نهایی!$1:$1,F13,نهایی!$2:$2)</f>
        <v>0</v>
      </c>
      <c r="I13" s="33">
        <v>1</v>
      </c>
    </row>
    <row r="14" spans="1:9" ht="18" x14ac:dyDescent="0.45">
      <c r="A14" s="25" t="s">
        <v>82</v>
      </c>
      <c r="B14" s="22">
        <f>SUMIF(نهایی!$1:$1,A14,نهایی!$3:$3)</f>
        <v>0</v>
      </c>
      <c r="C14" s="55">
        <f>SUMIF(نهایی!$1:$1,A14,نهایی!$2:$2)</f>
        <v>0</v>
      </c>
      <c r="D14" s="15">
        <v>1</v>
      </c>
      <c r="E14" s="27"/>
      <c r="F14" s="31" t="s">
        <v>229</v>
      </c>
      <c r="G14" s="32">
        <f>SUMIF(نهایی!$1:$1,F14,نهایی!$3:$3)</f>
        <v>0</v>
      </c>
      <c r="H14" s="53">
        <f>SUMIF(نهایی!$1:$1,F14,نهایی!$2:$2)</f>
        <v>0</v>
      </c>
      <c r="I14" s="33">
        <v>1</v>
      </c>
    </row>
    <row r="15" spans="1:9" ht="18.75" thickBot="1" x14ac:dyDescent="0.5">
      <c r="A15" s="26" t="s">
        <v>83</v>
      </c>
      <c r="B15" s="23">
        <f>SUMIF(نهایی!$1:$1,A15,نهایی!$3:$3)</f>
        <v>0</v>
      </c>
      <c r="C15" s="56">
        <f>SUMIF(نهایی!$1:$1,A15,نهایی!$2:$2)</f>
        <v>0</v>
      </c>
      <c r="D15" s="16">
        <v>1</v>
      </c>
      <c r="E15" s="27"/>
      <c r="F15" s="31" t="s">
        <v>230</v>
      </c>
      <c r="G15" s="32">
        <f>SUMIF(نهایی!$1:$1,F15,نهایی!$3:$3)</f>
        <v>0</v>
      </c>
      <c r="H15" s="53">
        <f>SUMIF(نهایی!$1:$1,F15,نهایی!$2:$2)</f>
        <v>0</v>
      </c>
      <c r="I15" s="33">
        <v>1</v>
      </c>
    </row>
    <row r="16" spans="1:9" ht="18" x14ac:dyDescent="0.45">
      <c r="F16" s="31" t="s">
        <v>231</v>
      </c>
      <c r="G16" s="32">
        <f>SUMIF(نهایی!$1:$1,F16,نهایی!$3:$3)</f>
        <v>0</v>
      </c>
      <c r="H16" s="53">
        <f>SUMIF(نهایی!$1:$1,F16,نهایی!$2:$2)</f>
        <v>0</v>
      </c>
      <c r="I16" s="33">
        <v>1</v>
      </c>
    </row>
    <row r="17" spans="6:11" ht="18" x14ac:dyDescent="0.45">
      <c r="F17" s="31" t="s">
        <v>232</v>
      </c>
      <c r="G17" s="32">
        <f>SUMIF(نهایی!$1:$1,F17,نهایی!$3:$3)</f>
        <v>0</v>
      </c>
      <c r="H17" s="53">
        <f>SUMIF(نهایی!$1:$1,F17,نهایی!$2:$2)</f>
        <v>0</v>
      </c>
      <c r="I17" s="33">
        <v>1</v>
      </c>
    </row>
    <row r="18" spans="6:11" ht="18.75" thickBot="1" x14ac:dyDescent="0.5">
      <c r="F18" s="34" t="s">
        <v>93</v>
      </c>
      <c r="G18" s="35">
        <f>SUMIF(نهایی!$1:$1,F18,نهایی!$3:$3)</f>
        <v>0</v>
      </c>
      <c r="H18" s="54">
        <f>SUMIF(نهایی!$1:$1,F18,نهایی!$2:$2)</f>
        <v>0</v>
      </c>
      <c r="I18" s="36">
        <v>1</v>
      </c>
    </row>
    <row r="19" spans="6:11" ht="15.75" thickBot="1" x14ac:dyDescent="0.3"/>
    <row r="20" spans="6:11" ht="18" x14ac:dyDescent="0.25">
      <c r="F20" s="180" t="s">
        <v>267</v>
      </c>
      <c r="G20" s="181"/>
      <c r="H20" s="182"/>
      <c r="I20" s="183"/>
    </row>
    <row r="21" spans="6:11" ht="18" x14ac:dyDescent="0.25">
      <c r="F21" s="18" t="s">
        <v>250</v>
      </c>
      <c r="G21" s="19" t="s">
        <v>200</v>
      </c>
      <c r="H21" s="51"/>
      <c r="I21" s="17" t="s">
        <v>251</v>
      </c>
    </row>
    <row r="22" spans="6:11" ht="18" x14ac:dyDescent="0.45">
      <c r="F22" s="2" t="s">
        <v>85</v>
      </c>
      <c r="G22" s="3">
        <f>SUMIF(نهایی!$1:$1,F22,نهایی!$3:$3)</f>
        <v>0</v>
      </c>
      <c r="H22" s="3">
        <f>SUMIF(نهایی!$1:$1,F22,نهایی!$2:$2)</f>
        <v>0</v>
      </c>
      <c r="I22" s="7">
        <v>1</v>
      </c>
      <c r="K22">
        <v>6.31</v>
      </c>
    </row>
    <row r="23" spans="6:11" ht="18" x14ac:dyDescent="0.45">
      <c r="F23" s="2" t="s">
        <v>87</v>
      </c>
      <c r="G23" s="3">
        <f>SUMIF(نهایی!$1:$1,F23,نهایی!$3:$3)</f>
        <v>0</v>
      </c>
      <c r="H23" s="49">
        <f>SUMIF(نهایی!$1:$1,F23,نهایی!$2:$2)</f>
        <v>0</v>
      </c>
      <c r="I23" s="7">
        <v>1</v>
      </c>
      <c r="K23">
        <v>57.6</v>
      </c>
    </row>
    <row r="24" spans="6:11" ht="18" x14ac:dyDescent="0.45">
      <c r="F24" s="2" t="s">
        <v>89</v>
      </c>
      <c r="G24" s="3">
        <f>SUMIF(نهایی!$1:$1,F24,نهایی!$3:$3)</f>
        <v>0</v>
      </c>
      <c r="H24" s="49">
        <f>SUMIF(نهایی!$1:$1,F24,نهایی!$2:$2)</f>
        <v>0</v>
      </c>
      <c r="I24" s="7">
        <v>1</v>
      </c>
      <c r="K24">
        <v>88.34</v>
      </c>
    </row>
    <row r="25" spans="6:11" ht="18" x14ac:dyDescent="0.45">
      <c r="F25" s="2" t="s">
        <v>90</v>
      </c>
      <c r="G25" s="3">
        <f>SUMIF(نهایی!$1:$1,F25,نهایی!$3:$3)</f>
        <v>0</v>
      </c>
      <c r="H25" s="49">
        <f>SUMIF(نهایی!$1:$1,F25,نهایی!$2:$2)</f>
        <v>0</v>
      </c>
      <c r="I25" s="7">
        <v>1</v>
      </c>
      <c r="K25">
        <v>76.19</v>
      </c>
    </row>
    <row r="26" spans="6:11" ht="18" x14ac:dyDescent="0.45">
      <c r="F26" s="2" t="s">
        <v>91</v>
      </c>
      <c r="G26" s="3">
        <f>SUMIF(نهایی!$1:$1,F26,نهایی!$3:$3)</f>
        <v>0</v>
      </c>
      <c r="H26" s="49">
        <f>SUMIF(نهایی!$1:$1,F26,نهایی!$2:$2)</f>
        <v>0</v>
      </c>
      <c r="I26" s="7">
        <v>1</v>
      </c>
      <c r="K26">
        <v>18.59</v>
      </c>
    </row>
    <row r="27" spans="6:11" ht="18.75" thickBot="1" x14ac:dyDescent="0.5">
      <c r="F27" s="4" t="s">
        <v>92</v>
      </c>
      <c r="G27" s="9">
        <f>SUMIF(نهایی!$1:$1,F27,نهایی!$3:$3)</f>
        <v>0</v>
      </c>
      <c r="H27" s="50">
        <f>SUMIF(نهایی!$1:$1,F27,نهایی!$2:$2)</f>
        <v>0</v>
      </c>
      <c r="I27" s="10">
        <v>1</v>
      </c>
      <c r="K27">
        <v>30.19</v>
      </c>
    </row>
  </sheetData>
  <mergeCells count="3">
    <mergeCell ref="A1:D1"/>
    <mergeCell ref="F1:I1"/>
    <mergeCell ref="F20:I20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N75"/>
  <sheetViews>
    <sheetView zoomScale="70" zoomScaleNormal="70" workbookViewId="0">
      <selection sqref="A1:J6"/>
    </sheetView>
  </sheetViews>
  <sheetFormatPr defaultRowHeight="18" x14ac:dyDescent="0.45"/>
  <cols>
    <col min="1" max="1" width="72.5703125" style="6" bestFit="1" customWidth="1"/>
    <col min="2" max="2" width="10.28515625" style="6" bestFit="1" customWidth="1"/>
    <col min="3" max="3" width="10.28515625" style="6" customWidth="1"/>
    <col min="4" max="4" width="9" style="6" bestFit="1" customWidth="1"/>
    <col min="5" max="5" width="5.5703125" bestFit="1" customWidth="1"/>
    <col min="6" max="6" width="5.5703125" customWidth="1"/>
    <col min="7" max="7" width="64.85546875" bestFit="1" customWidth="1"/>
    <col min="8" max="8" width="10.28515625" bestFit="1" customWidth="1"/>
    <col min="9" max="9" width="10.28515625" customWidth="1"/>
    <col min="10" max="10" width="5.5703125" customWidth="1"/>
    <col min="11" max="11" width="6.140625" bestFit="1" customWidth="1"/>
    <col min="13" max="13" width="95.5703125" bestFit="1" customWidth="1"/>
  </cols>
  <sheetData>
    <row r="1" spans="1:14" ht="18.75" thickBot="1" x14ac:dyDescent="0.5"/>
    <row r="2" spans="1:14" x14ac:dyDescent="0.25">
      <c r="A2" s="180" t="s">
        <v>242</v>
      </c>
      <c r="B2" s="181"/>
      <c r="C2" s="182"/>
      <c r="D2" s="183"/>
      <c r="F2" s="5"/>
      <c r="G2" s="180" t="s">
        <v>247</v>
      </c>
      <c r="H2" s="181"/>
      <c r="I2" s="182"/>
      <c r="J2" s="183"/>
      <c r="K2" s="5"/>
      <c r="M2" t="s">
        <v>115</v>
      </c>
      <c r="N2">
        <f>SUMIF(نهایی!$1:$1,M2,نهایی!$3:$3)</f>
        <v>0</v>
      </c>
    </row>
    <row r="3" spans="1:14" ht="18.75" thickBot="1" x14ac:dyDescent="0.3">
      <c r="A3" s="18" t="s">
        <v>250</v>
      </c>
      <c r="B3" s="19" t="s">
        <v>200</v>
      </c>
      <c r="C3" s="51"/>
      <c r="D3" s="17" t="s">
        <v>251</v>
      </c>
      <c r="F3" s="5"/>
      <c r="G3" s="18" t="s">
        <v>250</v>
      </c>
      <c r="H3" s="19" t="s">
        <v>200</v>
      </c>
      <c r="I3" s="51"/>
      <c r="J3" s="17" t="s">
        <v>251</v>
      </c>
      <c r="K3" s="5"/>
      <c r="M3" t="s">
        <v>116</v>
      </c>
      <c r="N3">
        <f>SUMIF(نهایی!$1:$1,M3,نهایی!$3:$3)</f>
        <v>0</v>
      </c>
    </row>
    <row r="4" spans="1:14" x14ac:dyDescent="0.45">
      <c r="A4" s="28" t="s">
        <v>96</v>
      </c>
      <c r="B4" s="22">
        <f>SUMIF(نهایی!$1:$1,A4,نهایی!$3:$3)</f>
        <v>0</v>
      </c>
      <c r="C4" s="22">
        <f>SUMIF(نهایی!$1:$1,A4,نهایی!$2:$2)</f>
        <v>0</v>
      </c>
      <c r="D4" s="30">
        <v>1</v>
      </c>
      <c r="G4" s="28" t="s">
        <v>129</v>
      </c>
      <c r="H4" s="32">
        <f>SUMIF(نهایی!$1:$1,G4,نهایی!$3:$3)</f>
        <v>0</v>
      </c>
      <c r="I4" s="32">
        <f>SUMIF(نهایی!$1:$1,G4,نهایی!$2:$2)</f>
        <v>0</v>
      </c>
      <c r="J4" s="30">
        <v>1</v>
      </c>
      <c r="M4" t="s">
        <v>117</v>
      </c>
      <c r="N4">
        <f>SUMIF(نهایی!$1:$1,M4,نهایی!$3:$3)</f>
        <v>0</v>
      </c>
    </row>
    <row r="5" spans="1:14" x14ac:dyDescent="0.45">
      <c r="A5" s="31" t="s">
        <v>112</v>
      </c>
      <c r="B5" s="3">
        <f>SUMIF(نهایی!$1:$1,A5,نهایی!$3:$3)</f>
        <v>0</v>
      </c>
      <c r="C5" s="3">
        <f>SUMIF(نهایی!$1:$1,A5,نهایی!$2:$2)</f>
        <v>0</v>
      </c>
      <c r="D5" s="33">
        <v>1</v>
      </c>
      <c r="G5" s="31" t="s">
        <v>96</v>
      </c>
      <c r="H5" s="32">
        <f>SUMIF(نهایی!$1:$1,G5,نهایی!$3:$3)</f>
        <v>0</v>
      </c>
      <c r="I5" s="53">
        <f>SUMIF(نهایی!$1:$1,G5,نهایی!$2:$2)</f>
        <v>0</v>
      </c>
      <c r="J5" s="33">
        <v>1</v>
      </c>
      <c r="M5" t="s">
        <v>118</v>
      </c>
      <c r="N5">
        <f>SUMIF(نهایی!$1:$1,M5,نهایی!$3:$3)</f>
        <v>0</v>
      </c>
    </row>
    <row r="6" spans="1:14" x14ac:dyDescent="0.45">
      <c r="A6" s="31" t="s">
        <v>233</v>
      </c>
      <c r="B6" s="3">
        <f>SUMIF(نهایی!$1:$1,A6,نهایی!$3:$3)</f>
        <v>0</v>
      </c>
      <c r="C6" s="3">
        <f>SUMIF(نهایی!$1:$1,A6,نهایی!$2:$2)</f>
        <v>0</v>
      </c>
      <c r="D6" s="33">
        <v>1</v>
      </c>
      <c r="G6" s="31" t="s">
        <v>136</v>
      </c>
      <c r="H6" s="32">
        <f>SUMIF(نهایی!$1:$1,G6,نهایی!$3:$3)</f>
        <v>0</v>
      </c>
      <c r="I6" s="41">
        <f>SUMIF(نهایی!$1:$1,G6,نهایی!$2:$2)</f>
        <v>0</v>
      </c>
      <c r="J6" s="46">
        <v>1</v>
      </c>
      <c r="M6" t="s">
        <v>119</v>
      </c>
      <c r="N6">
        <f>SUMIF(نهایی!$1:$1,M6,نهایی!$3:$3)</f>
        <v>0</v>
      </c>
    </row>
    <row r="7" spans="1:14" x14ac:dyDescent="0.45">
      <c r="A7" s="31" t="s">
        <v>102</v>
      </c>
      <c r="B7" s="3">
        <f>SUMIF(نهایی!$1:$1,A7,نهایی!$3:$3)</f>
        <v>0</v>
      </c>
      <c r="C7" s="3">
        <f>SUMIF(نهایی!$1:$1,A7,نهایی!$2:$2)</f>
        <v>0</v>
      </c>
      <c r="D7" s="33">
        <v>1</v>
      </c>
      <c r="G7" s="31" t="s">
        <v>133</v>
      </c>
      <c r="H7" s="32">
        <f>SUMIF(نهایی!$1:$1,G7,نهایی!$3:$3)</f>
        <v>0</v>
      </c>
      <c r="I7" s="53">
        <f>SUMIF(نهایی!$1:$1,G7,نهایی!$2:$2)</f>
        <v>0</v>
      </c>
      <c r="J7" s="33">
        <v>1</v>
      </c>
      <c r="M7" t="s">
        <v>120</v>
      </c>
      <c r="N7">
        <f>SUMIF(نهایی!$1:$1,M7,نهایی!$3:$3)</f>
        <v>0</v>
      </c>
    </row>
    <row r="8" spans="1:14" x14ac:dyDescent="0.45">
      <c r="A8" s="31" t="s">
        <v>105</v>
      </c>
      <c r="B8" s="3">
        <f>SUMIF(نهایی!$1:$1,A8,نهایی!$3:$3)</f>
        <v>0</v>
      </c>
      <c r="C8" s="3">
        <f>SUMIF(نهایی!$1:$1,A8,نهایی!$2:$2)</f>
        <v>0</v>
      </c>
      <c r="D8" s="33">
        <v>1</v>
      </c>
      <c r="G8" s="31" t="s">
        <v>134</v>
      </c>
      <c r="H8" s="32">
        <f>SUMIF(نهایی!$1:$1,G8,نهایی!$3:$3)</f>
        <v>0</v>
      </c>
      <c r="I8" s="53">
        <f>SUMIF(نهایی!$1:$1,G8,نهایی!$2:$2)</f>
        <v>0</v>
      </c>
      <c r="J8" s="33">
        <v>1</v>
      </c>
      <c r="M8" t="s">
        <v>121</v>
      </c>
      <c r="N8">
        <f>SUMIF(نهایی!$1:$1,M8,نهایی!$3:$3)</f>
        <v>0</v>
      </c>
    </row>
    <row r="9" spans="1:14" x14ac:dyDescent="0.45">
      <c r="A9" s="31" t="s">
        <v>106</v>
      </c>
      <c r="B9" s="3">
        <f>SUMIF(نهایی!$1:$1,A9,نهایی!$3:$3)</f>
        <v>0</v>
      </c>
      <c r="C9" s="3">
        <f>SUMIF(نهایی!$1:$1,A9,نهایی!$2:$2)</f>
        <v>0</v>
      </c>
      <c r="D9" s="33">
        <v>1</v>
      </c>
      <c r="G9" s="31" t="s">
        <v>135</v>
      </c>
      <c r="H9" s="32">
        <f>SUMIF(نهایی!$1:$1,G9,نهایی!$3:$3)</f>
        <v>0</v>
      </c>
      <c r="I9" s="53">
        <f>SUMIF(نهایی!$1:$1,G9,نهایی!$2:$2)</f>
        <v>0</v>
      </c>
      <c r="J9" s="33">
        <v>1</v>
      </c>
      <c r="M9" t="s">
        <v>122</v>
      </c>
      <c r="N9">
        <f>SUMIF(نهایی!$1:$1,M9,نهایی!$3:$3)</f>
        <v>0</v>
      </c>
    </row>
    <row r="10" spans="1:14" x14ac:dyDescent="0.45">
      <c r="A10" s="31" t="s">
        <v>234</v>
      </c>
      <c r="B10" s="3">
        <f>SUMIF(نهایی!$1:$1,A10,نهایی!$3:$3)</f>
        <v>0</v>
      </c>
      <c r="C10" s="3">
        <f>SUMIF(نهایی!$1:$1,A10,نهایی!$2:$2)</f>
        <v>0</v>
      </c>
      <c r="D10" s="33">
        <v>1</v>
      </c>
      <c r="G10" s="31" t="s">
        <v>138</v>
      </c>
      <c r="H10" s="32">
        <f>SUMIF(نهایی!$1:$1,G10,نهایی!$3:$3)</f>
        <v>0</v>
      </c>
      <c r="I10" s="53">
        <f>SUMIF(نهایی!$1:$1,G10,نهایی!$2:$2)</f>
        <v>0</v>
      </c>
      <c r="J10" s="33">
        <v>1</v>
      </c>
      <c r="M10" t="s">
        <v>123</v>
      </c>
      <c r="N10">
        <f>SUMIF(نهایی!$1:$1,M10,نهایی!$3:$3)</f>
        <v>0</v>
      </c>
    </row>
    <row r="11" spans="1:14" x14ac:dyDescent="0.45">
      <c r="A11" s="31" t="s">
        <v>108</v>
      </c>
      <c r="B11" s="3">
        <f>SUMIF(نهایی!$1:$1,A11,نهایی!$3:$3)</f>
        <v>0</v>
      </c>
      <c r="C11" s="3">
        <f>SUMIF(نهایی!$1:$1,A11,نهایی!$2:$2)</f>
        <v>0</v>
      </c>
      <c r="D11" s="33">
        <v>1</v>
      </c>
      <c r="G11" s="31" t="s">
        <v>139</v>
      </c>
      <c r="H11" s="32">
        <f>SUMIF(نهایی!$1:$1,G11,نهایی!$3:$3)</f>
        <v>0</v>
      </c>
      <c r="I11" s="53">
        <f>SUMIF(نهایی!$1:$1,G11,نهایی!$2:$2)</f>
        <v>0</v>
      </c>
      <c r="J11" s="33">
        <v>1</v>
      </c>
      <c r="M11" t="s">
        <v>95</v>
      </c>
      <c r="N11">
        <f>SUMIF(نهایی!$1:$1,M11,نهایی!$3:$3)</f>
        <v>0</v>
      </c>
    </row>
    <row r="12" spans="1:14" x14ac:dyDescent="0.45">
      <c r="A12" s="31" t="s">
        <v>109</v>
      </c>
      <c r="B12" s="3">
        <f>SUMIF(نهایی!$1:$1,A12,نهایی!$3:$3)</f>
        <v>0</v>
      </c>
      <c r="C12" s="3">
        <f>SUMIF(نهایی!$1:$1,A12,نهایی!$2:$2)</f>
        <v>0</v>
      </c>
      <c r="D12" s="33">
        <v>1</v>
      </c>
      <c r="G12" s="31" t="s">
        <v>140</v>
      </c>
      <c r="H12" s="32">
        <f>SUMIF(نهایی!$1:$1,G12,نهایی!$3:$3)</f>
        <v>0</v>
      </c>
      <c r="I12" s="53">
        <f>SUMIF(نهایی!$1:$1,G12,نهایی!$2:$2)</f>
        <v>0</v>
      </c>
      <c r="J12" s="33">
        <v>1</v>
      </c>
      <c r="M12" t="s">
        <v>124</v>
      </c>
      <c r="N12">
        <f>SUMIF(نهایی!$1:$1,M12,نهایی!$3:$3)</f>
        <v>0</v>
      </c>
    </row>
    <row r="13" spans="1:14" x14ac:dyDescent="0.45">
      <c r="A13" s="31" t="s">
        <v>110</v>
      </c>
      <c r="B13" s="3">
        <f>SUMIF(نهایی!$1:$1,A13,نهایی!$3:$3)</f>
        <v>0</v>
      </c>
      <c r="C13" s="3">
        <f>SUMIF(نهایی!$1:$1,A13,نهایی!$2:$2)</f>
        <v>0</v>
      </c>
      <c r="D13" s="33">
        <v>1</v>
      </c>
      <c r="G13" s="31" t="s">
        <v>142</v>
      </c>
      <c r="H13" s="32">
        <f>SUMIF(نهایی!$1:$1,G13,نهایی!$3:$3)</f>
        <v>0</v>
      </c>
      <c r="I13" s="53">
        <f>SUMIF(نهایی!$1:$1,G13,نهایی!$2:$2)</f>
        <v>0</v>
      </c>
      <c r="J13" s="33">
        <v>1</v>
      </c>
      <c r="M13" t="s">
        <v>125</v>
      </c>
      <c r="N13">
        <f>SUMIF(نهایی!$1:$1,M13,نهایی!$3:$3)</f>
        <v>0</v>
      </c>
    </row>
    <row r="14" spans="1:14" x14ac:dyDescent="0.45">
      <c r="A14" s="31" t="s">
        <v>111</v>
      </c>
      <c r="B14" s="3">
        <f>SUMIF(نهایی!$1:$1,A14,نهایی!$3:$3)</f>
        <v>0</v>
      </c>
      <c r="C14" s="3">
        <f>SUMIF(نهایی!$1:$1,A14,نهایی!$2:$2)</f>
        <v>0</v>
      </c>
      <c r="D14" s="33">
        <v>1</v>
      </c>
      <c r="G14" s="42" t="s">
        <v>130</v>
      </c>
      <c r="H14" s="43">
        <f>SUMIF(نهایی!$1:$1,G14,نهایی!$3:$3)</f>
        <v>0</v>
      </c>
      <c r="I14" s="57">
        <f>SUMIF(نهایی!$1:$1,G14,نهایی!$2:$2)</f>
        <v>0</v>
      </c>
      <c r="J14" s="33">
        <v>1</v>
      </c>
      <c r="M14" t="s">
        <v>126</v>
      </c>
      <c r="N14">
        <f>SUMIF(نهایی!$1:$1,M14,نهایی!$3:$3)</f>
        <v>0</v>
      </c>
    </row>
    <row r="15" spans="1:14" ht="18.75" thickBot="1" x14ac:dyDescent="0.5">
      <c r="A15" s="31" t="s">
        <v>113</v>
      </c>
      <c r="B15" s="3">
        <f>SUMIF(نهایی!$1:$1,A15,نهایی!$3:$3)</f>
        <v>0</v>
      </c>
      <c r="C15" s="3">
        <f>SUMIF(نهایی!$1:$1,A15,نهایی!$2:$2)</f>
        <v>0</v>
      </c>
      <c r="D15" s="33">
        <v>1</v>
      </c>
      <c r="G15" s="34" t="s">
        <v>143</v>
      </c>
      <c r="H15" s="35">
        <f>SUMIF(نهایی!$1:$1,G15,نهایی!$3:$3)</f>
        <v>0</v>
      </c>
      <c r="I15" s="54">
        <f>SUMIF(نهایی!$1:$1,G15,نهایی!$2:$2)</f>
        <v>0</v>
      </c>
      <c r="J15" s="36">
        <v>1</v>
      </c>
      <c r="M15" t="s">
        <v>127</v>
      </c>
      <c r="N15">
        <f>SUMIF(نهایی!$1:$1,M15,نهایی!$3:$3)</f>
        <v>0</v>
      </c>
    </row>
    <row r="16" spans="1:14" ht="18.75" thickBot="1" x14ac:dyDescent="0.5">
      <c r="A16" s="31" t="s">
        <v>114</v>
      </c>
      <c r="B16" s="3">
        <f>SUMIF(نهایی!$1:$1,A16,نهایی!$3:$3)</f>
        <v>0</v>
      </c>
      <c r="C16" s="3">
        <f>SUMIF(نهایی!$1:$1,A16,نهایی!$2:$2)</f>
        <v>0</v>
      </c>
      <c r="D16" s="33">
        <v>1</v>
      </c>
      <c r="M16" t="s">
        <v>128</v>
      </c>
      <c r="N16">
        <f>SUMIF(نهایی!$1:$1,M16,نهایی!$3:$3)</f>
        <v>0</v>
      </c>
    </row>
    <row r="17" spans="1:10" ht="18.75" thickBot="1" x14ac:dyDescent="0.5">
      <c r="A17" s="34" t="s">
        <v>98</v>
      </c>
      <c r="B17" s="9">
        <f>SUMIF(نهایی!$1:$1,A17,نهایی!$3:$3)</f>
        <v>0</v>
      </c>
      <c r="C17" s="9">
        <f>SUMIF(نهایی!$1:$1,A17,نهایی!$2:$2)</f>
        <v>0</v>
      </c>
      <c r="D17" s="36">
        <v>1</v>
      </c>
      <c r="E17" s="5"/>
      <c r="F17" s="5"/>
      <c r="G17" s="180" t="s">
        <v>268</v>
      </c>
      <c r="H17" s="181"/>
      <c r="I17" s="182"/>
      <c r="J17" s="183"/>
    </row>
    <row r="18" spans="1:10" ht="18.75" thickBot="1" x14ac:dyDescent="0.5">
      <c r="G18" s="44" t="s">
        <v>250</v>
      </c>
      <c r="H18" s="45" t="s">
        <v>200</v>
      </c>
      <c r="I18" s="58"/>
      <c r="J18" s="14" t="s">
        <v>251</v>
      </c>
    </row>
    <row r="19" spans="1:10" x14ac:dyDescent="0.45">
      <c r="A19" s="180" t="s">
        <v>243</v>
      </c>
      <c r="B19" s="181"/>
      <c r="C19" s="182"/>
      <c r="D19" s="183"/>
      <c r="G19" s="31" t="s">
        <v>131</v>
      </c>
      <c r="H19" s="32">
        <v>2191.11</v>
      </c>
      <c r="I19" s="53"/>
      <c r="J19" s="33">
        <v>1</v>
      </c>
    </row>
    <row r="20" spans="1:10" ht="18.75" thickBot="1" x14ac:dyDescent="0.5">
      <c r="A20" s="18" t="s">
        <v>250</v>
      </c>
      <c r="B20" s="19" t="s">
        <v>200</v>
      </c>
      <c r="C20" s="51"/>
      <c r="D20" s="17" t="s">
        <v>251</v>
      </c>
      <c r="G20" s="31" t="s">
        <v>132</v>
      </c>
      <c r="H20" s="32">
        <v>166.74</v>
      </c>
      <c r="I20" s="53"/>
      <c r="J20" s="33">
        <v>1</v>
      </c>
    </row>
    <row r="21" spans="1:10" x14ac:dyDescent="0.45">
      <c r="A21" s="28" t="s">
        <v>112</v>
      </c>
      <c r="B21" s="3">
        <f>SUMIF(نهایی!$1:$1,A21,نهایی!$3:$3)</f>
        <v>0</v>
      </c>
      <c r="C21" s="3">
        <f>SUMIF(نهایی!$1:$1,A21,نهایی!$2:$2)</f>
        <v>0</v>
      </c>
      <c r="D21" s="30">
        <v>1</v>
      </c>
      <c r="G21" s="31" t="s">
        <v>137</v>
      </c>
      <c r="H21" s="32">
        <v>59.61</v>
      </c>
      <c r="I21" s="53"/>
      <c r="J21" s="33">
        <v>1</v>
      </c>
    </row>
    <row r="22" spans="1:10" ht="18.75" thickBot="1" x14ac:dyDescent="0.5">
      <c r="A22" s="31" t="s">
        <v>233</v>
      </c>
      <c r="B22" s="3">
        <f>SUMIF(نهایی!$1:$1,A22,نهایی!$3:$3)</f>
        <v>0</v>
      </c>
      <c r="C22" s="3">
        <f>SUMIF(نهایی!$1:$1,A22,نهایی!$2:$2)</f>
        <v>0</v>
      </c>
      <c r="D22" s="33">
        <v>1</v>
      </c>
      <c r="G22" s="34" t="s">
        <v>141</v>
      </c>
      <c r="H22" s="35">
        <v>67.3</v>
      </c>
      <c r="I22" s="54"/>
      <c r="J22" s="36">
        <v>1</v>
      </c>
    </row>
    <row r="23" spans="1:10" x14ac:dyDescent="0.45">
      <c r="A23" s="31" t="s">
        <v>94</v>
      </c>
      <c r="B23" s="3">
        <f>SUMIF(نهایی!$1:$1,A23,نهایی!$3:$3)</f>
        <v>0</v>
      </c>
      <c r="C23" s="3">
        <f>SUMIF(نهایی!$1:$1,A23,نهایی!$2:$2)</f>
        <v>0</v>
      </c>
      <c r="D23" s="33">
        <v>1</v>
      </c>
    </row>
    <row r="24" spans="1:10" x14ac:dyDescent="0.45">
      <c r="A24" s="31" t="s">
        <v>105</v>
      </c>
      <c r="B24" s="3">
        <f>SUMIF(نهایی!$1:$1,A24,نهایی!$3:$3)</f>
        <v>0</v>
      </c>
      <c r="C24" s="3">
        <f>SUMIF(نهایی!$1:$1,A24,نهایی!$2:$2)</f>
        <v>0</v>
      </c>
      <c r="D24" s="33">
        <v>1</v>
      </c>
    </row>
    <row r="25" spans="1:10" x14ac:dyDescent="0.45">
      <c r="A25" s="31" t="s">
        <v>106</v>
      </c>
      <c r="B25" s="3">
        <f>SUMIF(نهایی!$1:$1,A25,نهایی!$3:$3)</f>
        <v>0</v>
      </c>
      <c r="C25" s="3">
        <f>SUMIF(نهایی!$1:$1,A25,نهایی!$2:$2)</f>
        <v>0</v>
      </c>
      <c r="D25" s="33">
        <v>1</v>
      </c>
    </row>
    <row r="26" spans="1:10" x14ac:dyDescent="0.45">
      <c r="A26" s="31" t="s">
        <v>234</v>
      </c>
      <c r="B26" s="3">
        <f>SUMIF(نهایی!$1:$1,A26,نهایی!$3:$3)</f>
        <v>0</v>
      </c>
      <c r="C26" s="3">
        <f>SUMIF(نهایی!$1:$1,A26,نهایی!$2:$2)</f>
        <v>0</v>
      </c>
      <c r="D26" s="33">
        <v>1</v>
      </c>
    </row>
    <row r="27" spans="1:10" x14ac:dyDescent="0.45">
      <c r="A27" s="31" t="s">
        <v>108</v>
      </c>
      <c r="B27" s="3">
        <f>SUMIF(نهایی!$1:$1,A27,نهایی!$3:$3)</f>
        <v>0</v>
      </c>
      <c r="C27" s="3">
        <f>SUMIF(نهایی!$1:$1,A27,نهایی!$2:$2)</f>
        <v>0</v>
      </c>
      <c r="D27" s="33">
        <v>1</v>
      </c>
    </row>
    <row r="28" spans="1:10" x14ac:dyDescent="0.45">
      <c r="A28" s="31" t="s">
        <v>109</v>
      </c>
      <c r="B28" s="3">
        <f>SUMIF(نهایی!$1:$1,A28,نهایی!$3:$3)</f>
        <v>0</v>
      </c>
      <c r="C28" s="3">
        <f>SUMIF(نهایی!$1:$1,A28,نهایی!$2:$2)</f>
        <v>0</v>
      </c>
      <c r="D28" s="33">
        <v>1</v>
      </c>
    </row>
    <row r="29" spans="1:10" x14ac:dyDescent="0.45">
      <c r="A29" s="31" t="s">
        <v>110</v>
      </c>
      <c r="B29" s="3">
        <f>SUMIF(نهایی!$1:$1,A29,نهایی!$3:$3)</f>
        <v>0</v>
      </c>
      <c r="C29" s="3">
        <f>SUMIF(نهایی!$1:$1,A29,نهایی!$2:$2)</f>
        <v>0</v>
      </c>
      <c r="D29" s="33">
        <v>1</v>
      </c>
    </row>
    <row r="30" spans="1:10" x14ac:dyDescent="0.45">
      <c r="A30" s="31" t="s">
        <v>111</v>
      </c>
      <c r="B30" s="3">
        <f>SUMIF(نهایی!$1:$1,A30,نهایی!$3:$3)</f>
        <v>0</v>
      </c>
      <c r="C30" s="3">
        <f>SUMIF(نهایی!$1:$1,A30,نهایی!$2:$2)</f>
        <v>0</v>
      </c>
      <c r="D30" s="33">
        <v>1</v>
      </c>
    </row>
    <row r="31" spans="1:10" x14ac:dyDescent="0.45">
      <c r="A31" s="31" t="s">
        <v>113</v>
      </c>
      <c r="B31" s="3">
        <f>SUMIF(نهایی!$1:$1,A31,نهایی!$3:$3)</f>
        <v>0</v>
      </c>
      <c r="C31" s="3">
        <f>SUMIF(نهایی!$1:$1,A31,نهایی!$2:$2)</f>
        <v>0</v>
      </c>
      <c r="D31" s="33">
        <v>1</v>
      </c>
    </row>
    <row r="32" spans="1:10" x14ac:dyDescent="0.45">
      <c r="A32" s="31" t="s">
        <v>114</v>
      </c>
      <c r="B32" s="3">
        <f>SUMIF(نهایی!$1:$1,A32,نهایی!$3:$3)</f>
        <v>0</v>
      </c>
      <c r="C32" s="3">
        <f>SUMIF(نهایی!$1:$1,A32,نهایی!$2:$2)</f>
        <v>0</v>
      </c>
      <c r="D32" s="33">
        <v>1</v>
      </c>
    </row>
    <row r="33" spans="1:4" ht="18.75" thickBot="1" x14ac:dyDescent="0.5">
      <c r="A33" s="34" t="s">
        <v>98</v>
      </c>
      <c r="B33" s="9">
        <f>SUMIF(نهایی!$1:$1,A33,نهایی!$3:$3)</f>
        <v>0</v>
      </c>
      <c r="C33" s="9">
        <f>SUMIF(نهایی!$1:$1,A33,نهایی!$2:$2)</f>
        <v>0</v>
      </c>
      <c r="D33" s="36">
        <v>1</v>
      </c>
    </row>
    <row r="34" spans="1:4" ht="18.75" thickBot="1" x14ac:dyDescent="0.5">
      <c r="A34" s="40"/>
      <c r="B34" s="41"/>
      <c r="C34" s="41"/>
      <c r="D34" s="41"/>
    </row>
    <row r="35" spans="1:4" x14ac:dyDescent="0.25">
      <c r="A35" s="180" t="s">
        <v>244</v>
      </c>
      <c r="B35" s="181"/>
      <c r="C35" s="182"/>
      <c r="D35" s="183"/>
    </row>
    <row r="36" spans="1:4" ht="18.75" thickBot="1" x14ac:dyDescent="0.3">
      <c r="A36" s="18" t="s">
        <v>250</v>
      </c>
      <c r="B36" s="19" t="s">
        <v>200</v>
      </c>
      <c r="C36" s="51"/>
      <c r="D36" s="17" t="s">
        <v>251</v>
      </c>
    </row>
    <row r="37" spans="1:4" x14ac:dyDescent="0.45">
      <c r="A37" s="28" t="s">
        <v>96</v>
      </c>
      <c r="B37" s="3">
        <f>SUMIF(نهایی!$1:$1,A37,نهایی!$3:$3)</f>
        <v>0</v>
      </c>
      <c r="C37" s="3">
        <f>SUMIF(نهایی!$1:$1,A37,نهایی!$2:$2)</f>
        <v>0</v>
      </c>
      <c r="D37" s="30">
        <v>1</v>
      </c>
    </row>
    <row r="38" spans="1:4" x14ac:dyDescent="0.45">
      <c r="A38" s="31" t="s">
        <v>112</v>
      </c>
      <c r="B38" s="3">
        <f>SUMIF(نهایی!$1:$1,A38,نهایی!$3:$3)</f>
        <v>0</v>
      </c>
      <c r="C38" s="3">
        <f>SUMIF(نهایی!$1:$1,A38,نهایی!$2:$2)</f>
        <v>0</v>
      </c>
      <c r="D38" s="33">
        <v>1</v>
      </c>
    </row>
    <row r="39" spans="1:4" x14ac:dyDescent="0.45">
      <c r="A39" s="31" t="s">
        <v>100</v>
      </c>
      <c r="B39" s="3">
        <f>SUMIF(نهایی!$1:$1,A39,نهایی!$3:$3)</f>
        <v>0</v>
      </c>
      <c r="C39" s="3">
        <f>SUMIF(نهایی!$1:$1,A39,نهایی!$2:$2)</f>
        <v>0</v>
      </c>
      <c r="D39" s="33">
        <v>1</v>
      </c>
    </row>
    <row r="40" spans="1:4" x14ac:dyDescent="0.45">
      <c r="A40" s="31" t="s">
        <v>102</v>
      </c>
      <c r="B40" s="3">
        <f>SUMIF(نهایی!$1:$1,A40,نهایی!$3:$3)</f>
        <v>0</v>
      </c>
      <c r="C40" s="3">
        <f>SUMIF(نهایی!$1:$1,A40,نهایی!$2:$2)</f>
        <v>0</v>
      </c>
      <c r="D40" s="33">
        <v>1</v>
      </c>
    </row>
    <row r="41" spans="1:4" x14ac:dyDescent="0.45">
      <c r="A41" s="31" t="s">
        <v>105</v>
      </c>
      <c r="B41" s="3">
        <f>SUMIF(نهایی!$1:$1,A41,نهایی!$3:$3)</f>
        <v>0</v>
      </c>
      <c r="C41" s="3">
        <f>SUMIF(نهایی!$1:$1,A41,نهایی!$2:$2)</f>
        <v>0</v>
      </c>
      <c r="D41" s="33">
        <v>1</v>
      </c>
    </row>
    <row r="42" spans="1:4" x14ac:dyDescent="0.45">
      <c r="A42" s="31" t="s">
        <v>106</v>
      </c>
      <c r="B42" s="3">
        <f>SUMIF(نهایی!$1:$1,A42,نهایی!$3:$3)</f>
        <v>0</v>
      </c>
      <c r="C42" s="3">
        <f>SUMIF(نهایی!$1:$1,A42,نهایی!$2:$2)</f>
        <v>0</v>
      </c>
      <c r="D42" s="33">
        <v>1</v>
      </c>
    </row>
    <row r="43" spans="1:4" x14ac:dyDescent="0.45">
      <c r="A43" s="31" t="s">
        <v>107</v>
      </c>
      <c r="B43" s="3">
        <f>SUMIF(نهایی!$1:$1,A43,نهایی!$3:$3)</f>
        <v>0</v>
      </c>
      <c r="C43" s="3">
        <f>SUMIF(نهایی!$1:$1,A43,نهایی!$2:$2)</f>
        <v>0</v>
      </c>
      <c r="D43" s="33">
        <v>1</v>
      </c>
    </row>
    <row r="44" spans="1:4" x14ac:dyDescent="0.45">
      <c r="A44" s="31" t="s">
        <v>108</v>
      </c>
      <c r="B44" s="3">
        <f>SUMIF(نهایی!$1:$1,A44,نهایی!$3:$3)</f>
        <v>0</v>
      </c>
      <c r="C44" s="3">
        <f>SUMIF(نهایی!$1:$1,A44,نهایی!$2:$2)</f>
        <v>0</v>
      </c>
      <c r="D44" s="33">
        <v>1</v>
      </c>
    </row>
    <row r="45" spans="1:4" x14ac:dyDescent="0.45">
      <c r="A45" s="31" t="s">
        <v>109</v>
      </c>
      <c r="B45" s="3">
        <f>SUMIF(نهایی!$1:$1,A45,نهایی!$3:$3)</f>
        <v>0</v>
      </c>
      <c r="C45" s="3">
        <f>SUMIF(نهایی!$1:$1,A45,نهایی!$2:$2)</f>
        <v>0</v>
      </c>
      <c r="D45" s="33">
        <v>1</v>
      </c>
    </row>
    <row r="46" spans="1:4" x14ac:dyDescent="0.45">
      <c r="A46" s="31" t="s">
        <v>110</v>
      </c>
      <c r="B46" s="3">
        <f>SUMIF(نهایی!$1:$1,A46,نهایی!$3:$3)</f>
        <v>0</v>
      </c>
      <c r="C46" s="3">
        <f>SUMIF(نهایی!$1:$1,A46,نهایی!$2:$2)</f>
        <v>0</v>
      </c>
      <c r="D46" s="33">
        <v>1</v>
      </c>
    </row>
    <row r="47" spans="1:4" x14ac:dyDescent="0.45">
      <c r="A47" s="31" t="s">
        <v>111</v>
      </c>
      <c r="B47" s="3">
        <f>SUMIF(نهایی!$1:$1,A47,نهایی!$3:$3)</f>
        <v>0</v>
      </c>
      <c r="C47" s="3">
        <f>SUMIF(نهایی!$1:$1,A47,نهایی!$2:$2)</f>
        <v>0</v>
      </c>
      <c r="D47" s="33">
        <v>1</v>
      </c>
    </row>
    <row r="48" spans="1:4" x14ac:dyDescent="0.45">
      <c r="A48" s="31" t="s">
        <v>113</v>
      </c>
      <c r="B48" s="3">
        <f>SUMIF(نهایی!$1:$1,A48,نهایی!$3:$3)</f>
        <v>0</v>
      </c>
      <c r="C48" s="3">
        <f>SUMIF(نهایی!$1:$1,A48,نهایی!$2:$2)</f>
        <v>0</v>
      </c>
      <c r="D48" s="33">
        <v>1</v>
      </c>
    </row>
    <row r="49" spans="1:4" x14ac:dyDescent="0.45">
      <c r="A49" s="31" t="s">
        <v>114</v>
      </c>
      <c r="B49" s="3">
        <f>SUMIF(نهایی!$1:$1,A49,نهایی!$3:$3)</f>
        <v>0</v>
      </c>
      <c r="C49" s="3">
        <f>SUMIF(نهایی!$1:$1,A49,نهایی!$2:$2)</f>
        <v>0</v>
      </c>
      <c r="D49" s="33">
        <v>1</v>
      </c>
    </row>
    <row r="50" spans="1:4" ht="18.75" thickBot="1" x14ac:dyDescent="0.5">
      <c r="A50" s="34" t="s">
        <v>98</v>
      </c>
      <c r="B50" s="9">
        <f>SUMIF(نهایی!$1:$1,A50,نهایی!$3:$3)</f>
        <v>0</v>
      </c>
      <c r="C50" s="9">
        <f>SUMIF(نهایی!$1:$1,A50,نهایی!$2:$2)</f>
        <v>0</v>
      </c>
      <c r="D50" s="36">
        <v>1</v>
      </c>
    </row>
    <row r="51" spans="1:4" ht="18.75" thickBot="1" x14ac:dyDescent="0.5"/>
    <row r="52" spans="1:4" x14ac:dyDescent="0.25">
      <c r="A52" s="180" t="s">
        <v>245</v>
      </c>
      <c r="B52" s="181"/>
      <c r="C52" s="182"/>
      <c r="D52" s="183"/>
    </row>
    <row r="53" spans="1:4" ht="18.75" thickBot="1" x14ac:dyDescent="0.3">
      <c r="A53" s="18" t="s">
        <v>250</v>
      </c>
      <c r="B53" s="19" t="s">
        <v>200</v>
      </c>
      <c r="C53" s="51"/>
      <c r="D53" s="17" t="s">
        <v>251</v>
      </c>
    </row>
    <row r="54" spans="1:4" x14ac:dyDescent="0.45">
      <c r="A54" s="28" t="s">
        <v>96</v>
      </c>
      <c r="B54" s="3">
        <f>SUMIF(نهایی!$1:$1,A54,نهایی!$3:$3)</f>
        <v>0</v>
      </c>
      <c r="C54" s="3">
        <f>SUMIF(نهایی!$1:$1,A54,نهایی!$2:$2)</f>
        <v>0</v>
      </c>
      <c r="D54" s="30">
        <v>1</v>
      </c>
    </row>
    <row r="55" spans="1:4" x14ac:dyDescent="0.45">
      <c r="A55" s="31" t="s">
        <v>112</v>
      </c>
      <c r="B55" s="3">
        <f>SUMIF(نهایی!$1:$1,A55,نهایی!$3:$3)</f>
        <v>0</v>
      </c>
      <c r="C55" s="3">
        <f>SUMIF(نهایی!$1:$1,A55,نهایی!$2:$2)</f>
        <v>0</v>
      </c>
      <c r="D55" s="33">
        <v>1</v>
      </c>
    </row>
    <row r="56" spans="1:4" x14ac:dyDescent="0.45">
      <c r="A56" s="31" t="s">
        <v>100</v>
      </c>
      <c r="B56" s="3">
        <f>SUMIF(نهایی!$1:$1,A56,نهایی!$3:$3)</f>
        <v>0</v>
      </c>
      <c r="C56" s="3">
        <f>SUMIF(نهایی!$1:$1,A56,نهایی!$2:$2)</f>
        <v>0</v>
      </c>
      <c r="D56" s="33">
        <v>1</v>
      </c>
    </row>
    <row r="57" spans="1:4" x14ac:dyDescent="0.45">
      <c r="A57" s="31" t="s">
        <v>94</v>
      </c>
      <c r="B57" s="3">
        <f>SUMIF(نهایی!$1:$1,A57,نهایی!$3:$3)</f>
        <v>0</v>
      </c>
      <c r="C57" s="3">
        <f>SUMIF(نهایی!$1:$1,A57,نهایی!$2:$2)</f>
        <v>0</v>
      </c>
      <c r="D57" s="33">
        <v>1</v>
      </c>
    </row>
    <row r="58" spans="1:4" x14ac:dyDescent="0.45">
      <c r="A58" s="31" t="s">
        <v>105</v>
      </c>
      <c r="B58" s="3">
        <f>SUMIF(نهایی!$1:$1,A58,نهایی!$3:$3)</f>
        <v>0</v>
      </c>
      <c r="C58" s="3">
        <f>SUMIF(نهایی!$1:$1,A58,نهایی!$2:$2)</f>
        <v>0</v>
      </c>
      <c r="D58" s="33">
        <v>1</v>
      </c>
    </row>
    <row r="59" spans="1:4" x14ac:dyDescent="0.45">
      <c r="A59" s="31" t="s">
        <v>106</v>
      </c>
      <c r="B59" s="3">
        <f>SUMIF(نهایی!$1:$1,A59,نهایی!$3:$3)</f>
        <v>0</v>
      </c>
      <c r="C59" s="3">
        <f>SUMIF(نهایی!$1:$1,A59,نهایی!$2:$2)</f>
        <v>0</v>
      </c>
      <c r="D59" s="33">
        <v>1</v>
      </c>
    </row>
    <row r="60" spans="1:4" x14ac:dyDescent="0.45">
      <c r="A60" s="31" t="s">
        <v>107</v>
      </c>
      <c r="B60" s="3">
        <f>SUMIF(نهایی!$1:$1,A60,نهایی!$3:$3)</f>
        <v>0</v>
      </c>
      <c r="C60" s="3">
        <f>SUMIF(نهایی!$1:$1,A60,نهایی!$2:$2)</f>
        <v>0</v>
      </c>
      <c r="D60" s="33">
        <v>1</v>
      </c>
    </row>
    <row r="61" spans="1:4" x14ac:dyDescent="0.45">
      <c r="A61" s="31" t="s">
        <v>108</v>
      </c>
      <c r="B61" s="3">
        <f>SUMIF(نهایی!$1:$1,A61,نهایی!$3:$3)</f>
        <v>0</v>
      </c>
      <c r="C61" s="3">
        <f>SUMIF(نهایی!$1:$1,A61,نهایی!$2:$2)</f>
        <v>0</v>
      </c>
      <c r="D61" s="33">
        <v>1</v>
      </c>
    </row>
    <row r="62" spans="1:4" x14ac:dyDescent="0.45">
      <c r="A62" s="31" t="s">
        <v>109</v>
      </c>
      <c r="B62" s="3">
        <f>SUMIF(نهایی!$1:$1,A62,نهایی!$3:$3)</f>
        <v>0</v>
      </c>
      <c r="C62" s="3">
        <f>SUMIF(نهایی!$1:$1,A62,نهایی!$2:$2)</f>
        <v>0</v>
      </c>
      <c r="D62" s="33">
        <v>1</v>
      </c>
    </row>
    <row r="63" spans="1:4" x14ac:dyDescent="0.45">
      <c r="A63" s="31" t="s">
        <v>110</v>
      </c>
      <c r="B63" s="3">
        <f>SUMIF(نهایی!$1:$1,A63,نهایی!$3:$3)</f>
        <v>0</v>
      </c>
      <c r="C63" s="3">
        <f>SUMIF(نهایی!$1:$1,A63,نهایی!$2:$2)</f>
        <v>0</v>
      </c>
      <c r="D63" s="33">
        <v>1</v>
      </c>
    </row>
    <row r="64" spans="1:4" x14ac:dyDescent="0.45">
      <c r="A64" s="31" t="s">
        <v>111</v>
      </c>
      <c r="B64" s="3">
        <f>SUMIF(نهایی!$1:$1,A64,نهایی!$3:$3)</f>
        <v>0</v>
      </c>
      <c r="C64" s="3">
        <f>SUMIF(نهایی!$1:$1,A64,نهایی!$2:$2)</f>
        <v>0</v>
      </c>
      <c r="D64" s="33">
        <v>1</v>
      </c>
    </row>
    <row r="65" spans="1:4" x14ac:dyDescent="0.45">
      <c r="A65" s="31" t="s">
        <v>113</v>
      </c>
      <c r="B65" s="3">
        <f>SUMIF(نهایی!$1:$1,A65,نهایی!$3:$3)</f>
        <v>0</v>
      </c>
      <c r="C65" s="3">
        <f>SUMIF(نهایی!$1:$1,A65,نهایی!$2:$2)</f>
        <v>0</v>
      </c>
      <c r="D65" s="33">
        <v>1</v>
      </c>
    </row>
    <row r="66" spans="1:4" x14ac:dyDescent="0.45">
      <c r="A66" s="31" t="s">
        <v>114</v>
      </c>
      <c r="B66" s="3">
        <f>SUMIF(نهایی!$1:$1,A66,نهایی!$3:$3)</f>
        <v>0</v>
      </c>
      <c r="C66" s="3">
        <f>SUMIF(نهایی!$1:$1,A66,نهایی!$2:$2)</f>
        <v>0</v>
      </c>
      <c r="D66" s="33">
        <v>1</v>
      </c>
    </row>
    <row r="67" spans="1:4" ht="18.75" thickBot="1" x14ac:dyDescent="0.5">
      <c r="A67" s="34" t="s">
        <v>98</v>
      </c>
      <c r="B67" s="9">
        <f>SUMIF(نهایی!$1:$1,A67,نهایی!$3:$3)</f>
        <v>0</v>
      </c>
      <c r="C67" s="9">
        <f>SUMIF(نهایی!$1:$1,A67,نهایی!$2:$2)</f>
        <v>0</v>
      </c>
      <c r="D67" s="36">
        <v>1</v>
      </c>
    </row>
    <row r="68" spans="1:4" ht="18.75" thickBot="1" x14ac:dyDescent="0.5"/>
    <row r="69" spans="1:4" x14ac:dyDescent="0.25">
      <c r="A69" s="180" t="s">
        <v>246</v>
      </c>
      <c r="B69" s="181"/>
      <c r="C69" s="182"/>
      <c r="D69" s="183"/>
    </row>
    <row r="70" spans="1:4" ht="18.75" thickBot="1" x14ac:dyDescent="0.3">
      <c r="A70" s="18" t="s">
        <v>250</v>
      </c>
      <c r="B70" s="19" t="s">
        <v>200</v>
      </c>
      <c r="C70" s="51"/>
      <c r="D70" s="17" t="s">
        <v>251</v>
      </c>
    </row>
    <row r="71" spans="1:4" x14ac:dyDescent="0.45">
      <c r="A71" s="28" t="s">
        <v>97</v>
      </c>
      <c r="B71" s="3">
        <f>SUMIF(نهایی!$1:$1,A71,نهایی!$3:$3)</f>
        <v>0</v>
      </c>
      <c r="C71" s="3">
        <f>SUMIF(نهایی!$1:$1,A71,نهایی!$2:$2)</f>
        <v>0</v>
      </c>
      <c r="D71" s="30">
        <v>1</v>
      </c>
    </row>
    <row r="72" spans="1:4" x14ac:dyDescent="0.45">
      <c r="A72" s="31" t="s">
        <v>99</v>
      </c>
      <c r="B72" s="3">
        <f>SUMIF(نهایی!$1:$1,A72,نهایی!$3:$3)</f>
        <v>0</v>
      </c>
      <c r="C72" s="3">
        <f>SUMIF(نهایی!$1:$1,A72,نهایی!$2:$2)</f>
        <v>0</v>
      </c>
      <c r="D72" s="33">
        <v>1</v>
      </c>
    </row>
    <row r="73" spans="1:4" x14ac:dyDescent="0.45">
      <c r="A73" s="31" t="s">
        <v>103</v>
      </c>
      <c r="B73" s="3">
        <f>SUMIF(نهایی!$1:$1,A73,نهایی!$3:$3)</f>
        <v>0</v>
      </c>
      <c r="C73" s="3">
        <f>SUMIF(نهایی!$1:$1,A73,نهایی!$2:$2)</f>
        <v>0</v>
      </c>
      <c r="D73" s="33">
        <v>1</v>
      </c>
    </row>
    <row r="74" spans="1:4" x14ac:dyDescent="0.45">
      <c r="A74" s="31" t="s">
        <v>104</v>
      </c>
      <c r="B74" s="3">
        <f>SUMIF(نهایی!$1:$1,A74,نهایی!$3:$3)</f>
        <v>0</v>
      </c>
      <c r="C74" s="3">
        <f>SUMIF(نهایی!$1:$1,A74,نهایی!$2:$2)</f>
        <v>0</v>
      </c>
      <c r="D74" s="33">
        <v>1</v>
      </c>
    </row>
    <row r="75" spans="1:4" ht="18.75" thickBot="1" x14ac:dyDescent="0.5">
      <c r="A75" s="34" t="s">
        <v>101</v>
      </c>
      <c r="B75" s="9">
        <f>SUMIF(نهایی!$1:$1,A75,نهایی!$3:$3)</f>
        <v>0</v>
      </c>
      <c r="C75" s="9">
        <f>SUMIF(نهایی!$1:$1,A75,نهایی!$2:$2)</f>
        <v>0</v>
      </c>
      <c r="D75" s="36">
        <v>1</v>
      </c>
    </row>
  </sheetData>
  <mergeCells count="7">
    <mergeCell ref="A69:D69"/>
    <mergeCell ref="G17:J17"/>
    <mergeCell ref="G2:J2"/>
    <mergeCell ref="A2:D2"/>
    <mergeCell ref="A19:D19"/>
    <mergeCell ref="A35:D35"/>
    <mergeCell ref="A52:D5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O66"/>
  <sheetViews>
    <sheetView topLeftCell="B1" zoomScale="70" zoomScaleNormal="70" workbookViewId="0">
      <selection sqref="A1:J6"/>
    </sheetView>
  </sheetViews>
  <sheetFormatPr defaultRowHeight="15" x14ac:dyDescent="0.25"/>
  <cols>
    <col min="1" max="1" width="85.42578125" customWidth="1"/>
    <col min="6" max="6" width="68.28515625" bestFit="1" customWidth="1"/>
    <col min="7" max="7" width="10.28515625" bestFit="1" customWidth="1"/>
    <col min="8" max="8" width="10.28515625" customWidth="1"/>
    <col min="11" max="11" width="74.42578125" bestFit="1" customWidth="1"/>
    <col min="15" max="15" width="14.85546875" bestFit="1" customWidth="1"/>
  </cols>
  <sheetData>
    <row r="1" spans="1:15" ht="18" x14ac:dyDescent="0.25">
      <c r="A1" s="180" t="s">
        <v>275</v>
      </c>
      <c r="B1" s="181"/>
      <c r="C1" s="182"/>
      <c r="D1" s="183"/>
      <c r="F1" s="180" t="s">
        <v>269</v>
      </c>
      <c r="G1" s="181"/>
      <c r="H1" s="182"/>
      <c r="I1" s="183"/>
      <c r="K1" s="180" t="s">
        <v>278</v>
      </c>
      <c r="L1" s="181"/>
      <c r="M1" s="182"/>
      <c r="N1" s="183"/>
    </row>
    <row r="2" spans="1:15" ht="18.75" thickBot="1" x14ac:dyDescent="0.3">
      <c r="A2" s="18" t="s">
        <v>250</v>
      </c>
      <c r="B2" s="19" t="s">
        <v>200</v>
      </c>
      <c r="C2" s="51"/>
      <c r="D2" s="17" t="s">
        <v>251</v>
      </c>
      <c r="F2" s="18" t="s">
        <v>250</v>
      </c>
      <c r="G2" s="19" t="s">
        <v>200</v>
      </c>
      <c r="H2" s="51"/>
      <c r="I2" s="17" t="s">
        <v>251</v>
      </c>
      <c r="K2" s="18" t="s">
        <v>250</v>
      </c>
      <c r="L2" s="19" t="s">
        <v>200</v>
      </c>
      <c r="M2" s="51"/>
      <c r="N2" s="17" t="s">
        <v>251</v>
      </c>
    </row>
    <row r="3" spans="1:15" ht="18" x14ac:dyDescent="0.45">
      <c r="A3" s="28" t="s">
        <v>171</v>
      </c>
      <c r="B3" s="29">
        <f>SUMIF(نهایی!$1:$1,A3,نهایی!$3:$3)</f>
        <v>0</v>
      </c>
      <c r="C3" s="20">
        <f>SUMIF(نهایی!$1:$1,B3,نهایی!$3:$3)</f>
        <v>0</v>
      </c>
      <c r="D3" s="60">
        <f>SUMIF(نهایی!$1:$1,B3,نهایی!$2:$2)</f>
        <v>0</v>
      </c>
      <c r="F3" s="28" t="s">
        <v>146</v>
      </c>
      <c r="G3" s="20">
        <f>SUMIF(نهایی!$1:$1,F3,نهایی!$3:$3)</f>
        <v>0</v>
      </c>
      <c r="H3" s="60">
        <f>SUMIF(نهایی!$1:$1,F3,نهایی!$2:$2)</f>
        <v>0</v>
      </c>
      <c r="I3" s="30">
        <v>1</v>
      </c>
      <c r="K3" s="28" t="s">
        <v>180</v>
      </c>
      <c r="L3" s="20">
        <f>SUMIF(نهایی!$1:$1,K3,نهایی!$3:$3)</f>
        <v>0</v>
      </c>
      <c r="M3" s="20">
        <f>SUMIF(نهایی!$1:$1,K3,نهایی!$2:$2)</f>
        <v>0</v>
      </c>
      <c r="N3" s="30">
        <v>8</v>
      </c>
    </row>
    <row r="4" spans="1:15" ht="18" x14ac:dyDescent="0.45">
      <c r="A4" s="31" t="s">
        <v>172</v>
      </c>
      <c r="B4" s="32">
        <f>SUMIF(نهایی!$1:$1,A4,نهایی!$3:$3)</f>
        <v>0</v>
      </c>
      <c r="C4" s="32">
        <f>SUMIF(نهایی!$1:$1,B4,نهایی!$3:$3)</f>
        <v>0</v>
      </c>
      <c r="D4" s="47">
        <f>SUMIF(نهایی!$1:$1,B4,نهایی!$2:$2)</f>
        <v>0</v>
      </c>
      <c r="F4" s="31" t="s">
        <v>147</v>
      </c>
      <c r="G4" s="32">
        <f>SUMIF(نهایی!$1:$1,F4,نهایی!$3:$3)</f>
        <v>0</v>
      </c>
      <c r="H4" s="53">
        <f>SUMIF(نهایی!$1:$1,F4,نهایی!$2:$2)</f>
        <v>0</v>
      </c>
      <c r="I4" s="33">
        <v>1</v>
      </c>
      <c r="K4" s="31" t="s">
        <v>181</v>
      </c>
      <c r="L4" s="32">
        <f>SUMIF(نهایی!$1:$1,K4,نهایی!$3:$3)</f>
        <v>0</v>
      </c>
      <c r="M4" s="32">
        <f>SUMIF(نهایی!$1:$1,K4,نهایی!$2:$2)</f>
        <v>0</v>
      </c>
      <c r="N4" s="33">
        <v>8</v>
      </c>
    </row>
    <row r="5" spans="1:15" ht="18" x14ac:dyDescent="0.45">
      <c r="A5" s="31" t="s">
        <v>173</v>
      </c>
      <c r="B5" s="32">
        <f>SUMIF(نهایی!$1:$1,A5,نهایی!$3:$3)</f>
        <v>0</v>
      </c>
      <c r="C5" s="32">
        <f>SUMIF(نهایی!$1:$1,B5,نهایی!$3:$3)</f>
        <v>0</v>
      </c>
      <c r="D5" s="47">
        <f>SUMIF(نهایی!$1:$1,B5,نهایی!$2:$2)</f>
        <v>0</v>
      </c>
      <c r="F5" s="31" t="s">
        <v>148</v>
      </c>
      <c r="G5" s="32">
        <f>SUMIF(نهایی!$1:$1,F5,نهایی!$3:$3)</f>
        <v>0</v>
      </c>
      <c r="H5" s="41">
        <f>SUMIF(نهایی!$1:$1,F5,نهایی!$2:$2)</f>
        <v>0</v>
      </c>
      <c r="I5" s="46">
        <v>1</v>
      </c>
      <c r="K5" s="31" t="s">
        <v>182</v>
      </c>
      <c r="L5" s="32">
        <f>SUMIF(نهایی!$1:$1,K5,نهایی!$3:$3)</f>
        <v>0</v>
      </c>
      <c r="M5" s="32">
        <f>SUMIF(نهایی!$1:$1,K5,نهایی!$2:$2)</f>
        <v>0</v>
      </c>
      <c r="N5" s="33">
        <v>1</v>
      </c>
    </row>
    <row r="6" spans="1:15" ht="18" x14ac:dyDescent="0.45">
      <c r="A6" s="31" t="s">
        <v>174</v>
      </c>
      <c r="B6" s="43">
        <f>SUMIF(نهایی!$1:$1,A6,نهایی!$3:$3)</f>
        <v>0</v>
      </c>
      <c r="C6" s="43">
        <f>SUMIF(نهایی!$1:$1,B6,نهایی!$3:$3)</f>
        <v>0</v>
      </c>
      <c r="D6" s="47">
        <f>SUMIF(نهایی!$1:$1,B6,نهایی!$2:$2)</f>
        <v>0</v>
      </c>
      <c r="F6" s="31" t="s">
        <v>149</v>
      </c>
      <c r="G6" s="32">
        <f>SUMIF(نهایی!$1:$1,F6,نهایی!$3:$3)</f>
        <v>0</v>
      </c>
      <c r="H6" s="53">
        <f>SUMIF(نهایی!$1:$1,F6,نهایی!$2:$2)</f>
        <v>0</v>
      </c>
      <c r="I6" s="33">
        <v>1</v>
      </c>
      <c r="K6" s="31" t="s">
        <v>183</v>
      </c>
      <c r="L6" s="32">
        <f>SUMIF(نهایی!$1:$1,K6,نهایی!$3:$3)</f>
        <v>0</v>
      </c>
      <c r="M6" s="32">
        <f>SUMIF(نهایی!$1:$1,K6,نهایی!$2:$2)</f>
        <v>0</v>
      </c>
      <c r="N6" s="33">
        <v>2</v>
      </c>
    </row>
    <row r="7" spans="1:15" ht="18" x14ac:dyDescent="0.45">
      <c r="A7" s="31" t="s">
        <v>175</v>
      </c>
      <c r="B7" s="32">
        <f>SUMIF(نهایی!$1:$1,A7,نهایی!$3:$3)</f>
        <v>0</v>
      </c>
      <c r="C7" s="32">
        <f>SUMIF(نهایی!$1:$1,B7,نهایی!$3:$3)</f>
        <v>0</v>
      </c>
      <c r="D7" s="47">
        <f>SUMIF(نهایی!$1:$1,B7,نهایی!$2:$2)</f>
        <v>0</v>
      </c>
      <c r="F7" s="31" t="s">
        <v>144</v>
      </c>
      <c r="G7" s="32">
        <f>SUMIF(نهایی!$1:$1,F7,نهایی!$3:$3)</f>
        <v>0</v>
      </c>
      <c r="H7" s="53">
        <f>SUMIF(نهایی!$1:$1,F7,نهایی!$2:$2)</f>
        <v>0</v>
      </c>
      <c r="I7" s="33">
        <v>1</v>
      </c>
      <c r="K7" s="31" t="s">
        <v>184</v>
      </c>
      <c r="L7" s="32">
        <f>SUMIF(نهایی!$1:$1,K7,نهایی!$3:$3)</f>
        <v>0</v>
      </c>
      <c r="M7" s="32">
        <f>SUMIF(نهایی!$1:$1,K7,نهایی!$2:$2)</f>
        <v>0</v>
      </c>
      <c r="N7" s="33">
        <v>1</v>
      </c>
    </row>
    <row r="8" spans="1:15" ht="18.75" thickBot="1" x14ac:dyDescent="0.5">
      <c r="A8" s="31" t="s">
        <v>176</v>
      </c>
      <c r="B8" s="32">
        <f>SUMIF(نهایی!$1:$1,A8,نهایی!$3:$3)</f>
        <v>0</v>
      </c>
      <c r="C8" s="32">
        <f>SUMIF(نهایی!$1:$1,B8,نهایی!$3:$3)</f>
        <v>0</v>
      </c>
      <c r="D8" s="47">
        <f>SUMIF(نهایی!$1:$1,B8,نهایی!$2:$2)</f>
        <v>0</v>
      </c>
      <c r="F8" s="34" t="s">
        <v>145</v>
      </c>
      <c r="G8" s="35">
        <f>SUMIF(نهایی!$1:$1,F8,نهایی!$3:$3)</f>
        <v>0</v>
      </c>
      <c r="H8" s="54">
        <f>SUMIF(نهایی!$1:$1,F8,نهایی!$2:$2)</f>
        <v>0</v>
      </c>
      <c r="I8" s="36">
        <v>1</v>
      </c>
      <c r="K8" s="31" t="s">
        <v>185</v>
      </c>
      <c r="L8" s="32">
        <f>SUMIF(نهایی!$1:$1,K8,نهایی!$3:$3)</f>
        <v>0</v>
      </c>
      <c r="M8" s="32">
        <f>SUMIF(نهایی!$1:$1,K8,نهایی!$2:$2)</f>
        <v>0</v>
      </c>
      <c r="N8" s="33">
        <v>2</v>
      </c>
    </row>
    <row r="9" spans="1:15" ht="18.75" thickBot="1" x14ac:dyDescent="0.5">
      <c r="A9" s="31" t="s">
        <v>177</v>
      </c>
      <c r="B9" s="32">
        <f>SUMIF(نهایی!$1:$1,A9,نهایی!$3:$3)</f>
        <v>0</v>
      </c>
      <c r="C9" s="32">
        <f>SUMIF(نهایی!$1:$1,B9,نهایی!$3:$3)</f>
        <v>0</v>
      </c>
      <c r="D9" s="47">
        <f>SUMIF(نهایی!$1:$1,B9,نهایی!$2:$2)</f>
        <v>0</v>
      </c>
      <c r="K9" s="31" t="s">
        <v>188</v>
      </c>
      <c r="L9" s="32">
        <f>SUMIF(نهایی!$1:$1,K9,نهایی!$3:$3)</f>
        <v>0</v>
      </c>
      <c r="M9" s="32">
        <f>SUMIF(نهایی!$1:$1,K9,نهایی!$2:$2)</f>
        <v>0</v>
      </c>
      <c r="N9" s="33">
        <v>1</v>
      </c>
      <c r="O9" s="31" t="s">
        <v>277</v>
      </c>
    </row>
    <row r="10" spans="1:15" ht="18" x14ac:dyDescent="0.45">
      <c r="A10" s="31" t="s">
        <v>178</v>
      </c>
      <c r="B10" s="32">
        <f>SUMIF(نهایی!$1:$1,A10,نهایی!$3:$3)</f>
        <v>0</v>
      </c>
      <c r="C10" s="32">
        <f>SUMIF(نهایی!$1:$1,B10,نهایی!$3:$3)</f>
        <v>0</v>
      </c>
      <c r="D10" s="47">
        <f>SUMIF(نهایی!$1:$1,B10,نهایی!$2:$2)</f>
        <v>0</v>
      </c>
      <c r="F10" s="180" t="s">
        <v>270</v>
      </c>
      <c r="G10" s="181"/>
      <c r="H10" s="182"/>
      <c r="I10" s="183"/>
      <c r="K10" s="31" t="s">
        <v>189</v>
      </c>
      <c r="L10" s="32">
        <f>SUMIF(نهایی!$1:$1,K10,نهایی!$3:$3)</f>
        <v>0</v>
      </c>
      <c r="M10" s="32">
        <f>SUMIF(نهایی!$1:$1,K10,نهایی!$2:$2)</f>
        <v>0</v>
      </c>
      <c r="N10" s="33">
        <v>1</v>
      </c>
      <c r="O10" s="31" t="s">
        <v>277</v>
      </c>
    </row>
    <row r="11" spans="1:15" ht="18.75" thickBot="1" x14ac:dyDescent="0.5">
      <c r="A11" s="34" t="s">
        <v>179</v>
      </c>
      <c r="B11" s="35">
        <f>SUMIF(نهایی!$1:$1,A11,نهایی!$3:$3)</f>
        <v>0</v>
      </c>
      <c r="C11" s="35">
        <f>SUMIF(نهایی!$1:$1,B11,نهایی!$3:$3)</f>
        <v>0</v>
      </c>
      <c r="D11" s="59">
        <f>SUMIF(نهایی!$1:$1,B11,نهایی!$2:$2)</f>
        <v>0</v>
      </c>
      <c r="F11" s="18" t="s">
        <v>250</v>
      </c>
      <c r="G11" s="19" t="s">
        <v>200</v>
      </c>
      <c r="H11" s="51"/>
      <c r="I11" s="17" t="s">
        <v>251</v>
      </c>
      <c r="K11" s="31" t="s">
        <v>186</v>
      </c>
      <c r="L11" s="32">
        <f>SUMIF(نهایی!$1:$1,K11,نهایی!$3:$3)</f>
        <v>0</v>
      </c>
      <c r="M11" s="32">
        <f>SUMIF(نهایی!$1:$1,K11,نهایی!$2:$2)</f>
        <v>0</v>
      </c>
      <c r="N11" s="33">
        <v>1</v>
      </c>
    </row>
    <row r="12" spans="1:15" ht="18.75" thickBot="1" x14ac:dyDescent="0.5">
      <c r="F12" s="28" t="s">
        <v>150</v>
      </c>
      <c r="G12" s="20">
        <f>SUMIF(نهایی!$1:$1,F12,نهایی!$3:$3)</f>
        <v>0</v>
      </c>
      <c r="H12" s="60">
        <f>SUMIF(نهایی!$1:$1,F12,نهایی!$2:$2)</f>
        <v>0</v>
      </c>
      <c r="I12" s="30">
        <v>1</v>
      </c>
      <c r="K12" s="34" t="s">
        <v>187</v>
      </c>
      <c r="L12" s="35">
        <f>SUMIF(نهایی!$1:$1,K12,نهایی!$3:$3)</f>
        <v>0</v>
      </c>
      <c r="M12" s="35">
        <f>SUMIF(نهایی!$1:$1,K12,نهایی!$2:$2)</f>
        <v>0</v>
      </c>
      <c r="N12" s="36">
        <v>1</v>
      </c>
    </row>
    <row r="13" spans="1:15" ht="18" x14ac:dyDescent="0.45">
      <c r="A13" s="180" t="s">
        <v>276</v>
      </c>
      <c r="B13" s="181"/>
      <c r="C13" s="182"/>
      <c r="D13" s="183"/>
      <c r="F13" s="31" t="s">
        <v>151</v>
      </c>
      <c r="G13" s="32">
        <f>SUMIF(نهایی!$1:$1,F13,نهایی!$3:$3)</f>
        <v>0</v>
      </c>
      <c r="H13" s="53">
        <f>SUMIF(نهایی!$1:$1,F13,نهایی!$2:$2)</f>
        <v>0</v>
      </c>
      <c r="I13" s="33">
        <v>1</v>
      </c>
    </row>
    <row r="14" spans="1:15" ht="18.75" thickBot="1" x14ac:dyDescent="0.5">
      <c r="A14" s="18" t="s">
        <v>250</v>
      </c>
      <c r="B14" s="19" t="s">
        <v>200</v>
      </c>
      <c r="C14" s="51"/>
      <c r="D14" s="17" t="s">
        <v>251</v>
      </c>
      <c r="F14" s="31" t="s">
        <v>152</v>
      </c>
      <c r="G14" s="32">
        <f>SUMIF(نهایی!$1:$1,F14,نهایی!$3:$3)</f>
        <v>0</v>
      </c>
      <c r="H14" s="41">
        <f>SUMIF(نهایی!$1:$1,F14,نهایی!$2:$2)</f>
        <v>0</v>
      </c>
      <c r="I14" s="46">
        <v>1</v>
      </c>
    </row>
    <row r="15" spans="1:15" ht="18" x14ac:dyDescent="0.45">
      <c r="A15" s="28" t="s">
        <v>190</v>
      </c>
      <c r="B15" s="29">
        <f>SUMIF(نهایی!$1:$1,A15,نهایی!$3:$3)</f>
        <v>0</v>
      </c>
      <c r="C15" s="20">
        <f>SUMIF(نهایی!$1:$1,B15,نهایی!$3:$3)</f>
        <v>0</v>
      </c>
      <c r="D15" s="60">
        <f>SUMIF(نهایی!$1:$1,B15,نهایی!$2:$2)</f>
        <v>0</v>
      </c>
      <c r="F15" s="31" t="s">
        <v>153</v>
      </c>
      <c r="G15" s="32">
        <f>SUMIF(نهایی!$1:$1,F15,نهایی!$3:$3)</f>
        <v>0</v>
      </c>
      <c r="H15" s="53">
        <f>SUMIF(نهایی!$1:$1,F15,نهایی!$2:$2)</f>
        <v>0</v>
      </c>
      <c r="I15" s="33">
        <v>1</v>
      </c>
      <c r="K15" s="180" t="s">
        <v>279</v>
      </c>
      <c r="L15" s="181"/>
      <c r="M15" s="182"/>
      <c r="N15" s="183"/>
    </row>
    <row r="16" spans="1:15" ht="18.75" thickBot="1" x14ac:dyDescent="0.5">
      <c r="A16" s="31" t="s">
        <v>191</v>
      </c>
      <c r="B16" s="32">
        <f>SUMIF(نهایی!$1:$1,A16,نهایی!$3:$3)</f>
        <v>0</v>
      </c>
      <c r="C16" s="53">
        <f>SUMIF(نهایی!$1:$1,B16,نهایی!$3:$3)</f>
        <v>0</v>
      </c>
      <c r="D16" s="33">
        <f>SUMIF(نهایی!$1:$1,B16,نهایی!$2:$2)</f>
        <v>0</v>
      </c>
      <c r="F16" s="31" t="s">
        <v>154</v>
      </c>
      <c r="G16" s="32">
        <f>SUMIF(نهایی!$1:$1,F16,نهایی!$3:$3)</f>
        <v>0</v>
      </c>
      <c r="H16" s="53">
        <f>SUMIF(نهایی!$1:$1,F16,نهایی!$2:$2)</f>
        <v>0</v>
      </c>
      <c r="I16" s="33">
        <v>1</v>
      </c>
      <c r="K16" s="18" t="s">
        <v>250</v>
      </c>
      <c r="L16" s="19" t="s">
        <v>200</v>
      </c>
      <c r="M16" s="51"/>
      <c r="N16" s="17" t="s">
        <v>251</v>
      </c>
    </row>
    <row r="17" spans="1:14" ht="18.75" thickBot="1" x14ac:dyDescent="0.5">
      <c r="A17" s="31" t="s">
        <v>192</v>
      </c>
      <c r="B17" s="32">
        <f>SUMIF(نهایی!$1:$1,A17,نهایی!$3:$3)</f>
        <v>0</v>
      </c>
      <c r="C17" s="53">
        <f>SUMIF(نهایی!$1:$1,B17,نهایی!$3:$3)</f>
        <v>0</v>
      </c>
      <c r="D17" s="33">
        <f>SUMIF(نهایی!$1:$1,B17,نهایی!$2:$2)</f>
        <v>0</v>
      </c>
      <c r="K17" s="28" t="s">
        <v>180</v>
      </c>
      <c r="L17" s="29">
        <f>SUMIF(نهایی!$1:$1,K17,نهایی!$3:$3)</f>
        <v>0</v>
      </c>
      <c r="M17" s="29">
        <f>SUMIF(نهایی!$1:$1,K17,نهایی!$2:$2)</f>
        <v>0</v>
      </c>
      <c r="N17" s="30">
        <v>6</v>
      </c>
    </row>
    <row r="18" spans="1:14" ht="18" x14ac:dyDescent="0.45">
      <c r="A18" s="31" t="s">
        <v>193</v>
      </c>
      <c r="B18" s="43">
        <f>SUMIF(نهایی!$1:$1,A18,نهایی!$3:$3)</f>
        <v>0</v>
      </c>
      <c r="C18" s="53">
        <f>SUMIF(نهایی!$1:$1,B18,نهایی!$3:$3)</f>
        <v>0</v>
      </c>
      <c r="D18" s="33">
        <f>SUMIF(نهایی!$1:$1,B18,نهایی!$2:$2)</f>
        <v>0</v>
      </c>
      <c r="F18" s="180" t="s">
        <v>271</v>
      </c>
      <c r="G18" s="181"/>
      <c r="H18" s="182"/>
      <c r="I18" s="183"/>
      <c r="K18" s="31" t="s">
        <v>181</v>
      </c>
      <c r="L18" s="32">
        <f>SUMIF(نهایی!$1:$1,K18,نهایی!$3:$3)</f>
        <v>0</v>
      </c>
      <c r="M18" s="32">
        <f>SUMIF(نهایی!$1:$1,K18,نهایی!$2:$2)</f>
        <v>0</v>
      </c>
      <c r="N18" s="33">
        <v>6</v>
      </c>
    </row>
    <row r="19" spans="1:14" ht="18.75" thickBot="1" x14ac:dyDescent="0.5">
      <c r="A19" s="31" t="s">
        <v>194</v>
      </c>
      <c r="B19" s="32">
        <f>SUMIF(نهایی!$1:$1,A19,نهایی!$3:$3)</f>
        <v>0</v>
      </c>
      <c r="C19" s="53">
        <f>SUMIF(نهایی!$1:$1,B19,نهایی!$3:$3)</f>
        <v>0</v>
      </c>
      <c r="D19" s="33">
        <f>SUMIF(نهایی!$1:$1,B19,نهایی!$2:$2)</f>
        <v>0</v>
      </c>
      <c r="F19" s="18" t="s">
        <v>250</v>
      </c>
      <c r="G19" s="19" t="s">
        <v>200</v>
      </c>
      <c r="H19" s="51"/>
      <c r="I19" s="17" t="s">
        <v>251</v>
      </c>
      <c r="K19" s="31" t="s">
        <v>182</v>
      </c>
      <c r="L19" s="32">
        <f>SUMIF(نهایی!$1:$1,K19,نهایی!$3:$3)</f>
        <v>0</v>
      </c>
      <c r="M19" s="32">
        <f>SUMIF(نهایی!$1:$1,K19,نهایی!$2:$2)</f>
        <v>0</v>
      </c>
      <c r="N19" s="33">
        <v>1</v>
      </c>
    </row>
    <row r="20" spans="1:14" ht="18" x14ac:dyDescent="0.45">
      <c r="A20" s="31" t="s">
        <v>195</v>
      </c>
      <c r="B20" s="32">
        <f>SUMIF(نهایی!$1:$1,A20,نهایی!$3:$3)</f>
        <v>0</v>
      </c>
      <c r="C20" s="53">
        <f>SUMIF(نهایی!$1:$1,B20,نهایی!$3:$3)</f>
        <v>0</v>
      </c>
      <c r="D20" s="33">
        <f>SUMIF(نهایی!$1:$1,B20,نهایی!$2:$2)</f>
        <v>0</v>
      </c>
      <c r="F20" s="28" t="s">
        <v>166</v>
      </c>
      <c r="G20" s="20">
        <f>SUMIF(نهایی!$1:$1,F20,نهایی!$3:$3)</f>
        <v>0</v>
      </c>
      <c r="H20" s="60">
        <f>SUMIF(نهایی!$1:$1,F20,نهایی!$2:$2)</f>
        <v>0</v>
      </c>
      <c r="I20" s="30">
        <v>2</v>
      </c>
      <c r="K20" s="31" t="s">
        <v>183</v>
      </c>
      <c r="L20" s="32">
        <f>SUMIF(نهایی!$1:$1,K20,نهایی!$3:$3)</f>
        <v>0</v>
      </c>
      <c r="M20" s="32">
        <f>SUMIF(نهایی!$1:$1,K20,نهایی!$2:$2)</f>
        <v>0</v>
      </c>
      <c r="N20" s="33">
        <v>2</v>
      </c>
    </row>
    <row r="21" spans="1:14" ht="18" x14ac:dyDescent="0.45">
      <c r="A21" s="31" t="s">
        <v>196</v>
      </c>
      <c r="B21" s="32">
        <f>SUMIF(نهایی!$1:$1,A21,نهایی!$3:$3)</f>
        <v>0</v>
      </c>
      <c r="C21" s="53">
        <f>SUMIF(نهایی!$1:$1,B21,نهایی!$3:$3)</f>
        <v>0</v>
      </c>
      <c r="D21" s="33">
        <f>SUMIF(نهایی!$1:$1,B21,نهایی!$2:$2)</f>
        <v>0</v>
      </c>
      <c r="F21" s="31" t="s">
        <v>167</v>
      </c>
      <c r="G21" s="32">
        <f>SUMIF(نهایی!$1:$1,F21,نهایی!$3:$3)</f>
        <v>0</v>
      </c>
      <c r="H21" s="53">
        <f>SUMIF(نهایی!$1:$1,F21,نهایی!$2:$2)</f>
        <v>0</v>
      </c>
      <c r="I21" s="33">
        <v>2</v>
      </c>
      <c r="K21" s="31" t="s">
        <v>184</v>
      </c>
      <c r="L21" s="32">
        <f>SUMIF(نهایی!$1:$1,K21,نهایی!$3:$3)</f>
        <v>0</v>
      </c>
      <c r="M21" s="32">
        <f>SUMIF(نهایی!$1:$1,K21,نهایی!$2:$2)</f>
        <v>0</v>
      </c>
      <c r="N21" s="33">
        <v>1</v>
      </c>
    </row>
    <row r="22" spans="1:14" ht="18.75" thickBot="1" x14ac:dyDescent="0.5">
      <c r="A22" s="34" t="s">
        <v>197</v>
      </c>
      <c r="B22" s="35">
        <f>SUMIF(نهایی!$1:$1,A22,نهایی!$3:$3)</f>
        <v>0</v>
      </c>
      <c r="C22" s="54">
        <f>SUMIF(نهایی!$1:$1,B22,نهایی!$3:$3)</f>
        <v>0</v>
      </c>
      <c r="D22" s="36">
        <f>SUMIF(نهایی!$1:$1,B22,نهایی!$2:$2)</f>
        <v>0</v>
      </c>
      <c r="F22" s="31" t="s">
        <v>168</v>
      </c>
      <c r="G22" s="32">
        <f>SUMIF(نهایی!$1:$1,F22,نهایی!$3:$3)</f>
        <v>0</v>
      </c>
      <c r="H22" s="41">
        <f>SUMIF(نهایی!$1:$1,F22,نهایی!$2:$2)</f>
        <v>0</v>
      </c>
      <c r="I22" s="46">
        <v>3</v>
      </c>
      <c r="K22" s="31" t="s">
        <v>185</v>
      </c>
      <c r="L22" s="32">
        <f>SUMIF(نهایی!$1:$1,K22,نهایی!$3:$3)</f>
        <v>0</v>
      </c>
      <c r="M22" s="32">
        <f>SUMIF(نهایی!$1:$1,K22,نهایی!$2:$2)</f>
        <v>0</v>
      </c>
      <c r="N22" s="33">
        <v>2</v>
      </c>
    </row>
    <row r="23" spans="1:14" ht="18" x14ac:dyDescent="0.45">
      <c r="F23" s="31" t="s">
        <v>169</v>
      </c>
      <c r="G23" s="32">
        <f>SUMIF(نهایی!$1:$1,F23,نهایی!$3:$3)</f>
        <v>0</v>
      </c>
      <c r="H23" s="53">
        <f>SUMIF(نهایی!$1:$1,F23,نهایی!$2:$2)</f>
        <v>0</v>
      </c>
      <c r="I23" s="33">
        <v>1</v>
      </c>
      <c r="K23" s="31" t="s">
        <v>188</v>
      </c>
      <c r="L23" s="32">
        <f>SUMIF(نهایی!$1:$1,K23,نهایی!$3:$3)</f>
        <v>0</v>
      </c>
      <c r="M23" s="32">
        <f>SUMIF(نهایی!$1:$1,K23,نهایی!$2:$2)</f>
        <v>0</v>
      </c>
      <c r="N23" s="33"/>
    </row>
    <row r="24" spans="1:14" ht="18" x14ac:dyDescent="0.45">
      <c r="F24" s="31" t="s">
        <v>170</v>
      </c>
      <c r="G24" s="32">
        <f>SUMIF(نهایی!$1:$1,F24,نهایی!$3:$3)</f>
        <v>0</v>
      </c>
      <c r="H24" s="53">
        <f>SUMIF(نهایی!$1:$1,F24,نهایی!$2:$2)</f>
        <v>0</v>
      </c>
      <c r="I24" s="33">
        <v>1</v>
      </c>
      <c r="K24" s="31" t="s">
        <v>189</v>
      </c>
      <c r="L24" s="32">
        <f>SUMIF(نهایی!$1:$1,K24,نهایی!$3:$3)</f>
        <v>0</v>
      </c>
      <c r="M24" s="32">
        <f>SUMIF(نهایی!$1:$1,K24,نهایی!$2:$2)</f>
        <v>0</v>
      </c>
      <c r="N24" s="33"/>
    </row>
    <row r="25" spans="1:14" ht="18" x14ac:dyDescent="0.45">
      <c r="F25" s="31" t="s">
        <v>144</v>
      </c>
      <c r="G25" s="32">
        <f>SUMIF(نهایی!$1:$1,F25,نهایی!$3:$3)</f>
        <v>0</v>
      </c>
      <c r="H25" s="53">
        <f>SUMIF(نهایی!$1:$1,F25,نهایی!$2:$2)</f>
        <v>0</v>
      </c>
      <c r="I25" s="33">
        <v>1</v>
      </c>
      <c r="K25" s="31" t="s">
        <v>186</v>
      </c>
      <c r="L25" s="32">
        <f>SUMIF(نهایی!$1:$1,K25,نهایی!$3:$3)</f>
        <v>0</v>
      </c>
      <c r="M25" s="32">
        <f>SUMIF(نهایی!$1:$1,K25,نهایی!$2:$2)</f>
        <v>0</v>
      </c>
      <c r="N25" s="33">
        <v>1</v>
      </c>
    </row>
    <row r="26" spans="1:14" ht="18.75" thickBot="1" x14ac:dyDescent="0.5">
      <c r="F26" s="34" t="s">
        <v>145</v>
      </c>
      <c r="G26" s="35">
        <f>SUMIF(نهایی!$1:$1,F26,نهایی!$3:$3)</f>
        <v>0</v>
      </c>
      <c r="H26" s="54">
        <f>SUMIF(نهایی!$1:$1,F26,نهایی!$2:$2)</f>
        <v>0</v>
      </c>
      <c r="I26" s="36">
        <v>1</v>
      </c>
      <c r="K26" s="34" t="s">
        <v>187</v>
      </c>
      <c r="L26" s="35">
        <f>SUMIF(نهایی!$1:$1,K26,نهایی!$3:$3)</f>
        <v>0</v>
      </c>
      <c r="M26" s="35">
        <f>SUMIF(نهایی!$1:$1,K26,نهایی!$2:$2)</f>
        <v>0</v>
      </c>
      <c r="N26" s="36">
        <v>1</v>
      </c>
    </row>
    <row r="27" spans="1:14" ht="15.75" thickBot="1" x14ac:dyDescent="0.3"/>
    <row r="28" spans="1:14" ht="18.75" thickBot="1" x14ac:dyDescent="0.3">
      <c r="F28" s="180" t="s">
        <v>273</v>
      </c>
      <c r="G28" s="181"/>
      <c r="H28" s="182"/>
      <c r="I28" s="183"/>
    </row>
    <row r="29" spans="1:14" ht="18.75" thickBot="1" x14ac:dyDescent="0.3">
      <c r="F29" s="18" t="s">
        <v>250</v>
      </c>
      <c r="G29" s="19" t="s">
        <v>200</v>
      </c>
      <c r="H29" s="51"/>
      <c r="I29" s="17" t="s">
        <v>251</v>
      </c>
      <c r="K29" s="180" t="s">
        <v>282</v>
      </c>
      <c r="L29" s="181"/>
      <c r="M29" s="182"/>
      <c r="N29" s="183"/>
    </row>
    <row r="30" spans="1:14" ht="18.75" thickBot="1" x14ac:dyDescent="0.5">
      <c r="F30" s="28" t="s">
        <v>161</v>
      </c>
      <c r="G30" s="20">
        <f>SUMIF(نهایی!$1:$1,F30,نهایی!$3:$3)</f>
        <v>0</v>
      </c>
      <c r="H30" s="60">
        <f>SUMIF(نهایی!$1:$1,F30,نهایی!$2:$2)</f>
        <v>0</v>
      </c>
      <c r="I30" s="30">
        <v>2</v>
      </c>
      <c r="K30" s="18" t="s">
        <v>250</v>
      </c>
      <c r="L30" s="19" t="s">
        <v>200</v>
      </c>
      <c r="M30" s="51"/>
      <c r="N30" s="17" t="s">
        <v>251</v>
      </c>
    </row>
    <row r="31" spans="1:14" ht="18" x14ac:dyDescent="0.45">
      <c r="F31" s="31" t="s">
        <v>162</v>
      </c>
      <c r="G31" s="32">
        <f>SUMIF(نهایی!$1:$1,F31,نهایی!$3:$3)</f>
        <v>0</v>
      </c>
      <c r="H31" s="53">
        <f>SUMIF(نهایی!$1:$1,F31,نهایی!$2:$2)</f>
        <v>0</v>
      </c>
      <c r="I31" s="33">
        <v>2</v>
      </c>
      <c r="K31" s="28" t="s">
        <v>180</v>
      </c>
      <c r="L31" s="29">
        <v>408.61</v>
      </c>
      <c r="M31" s="52"/>
      <c r="N31" s="30">
        <v>6</v>
      </c>
    </row>
    <row r="32" spans="1:14" ht="18" x14ac:dyDescent="0.45">
      <c r="F32" s="31" t="s">
        <v>163</v>
      </c>
      <c r="G32" s="32">
        <f>SUMIF(نهایی!$1:$1,F32,نهایی!$3:$3)</f>
        <v>0</v>
      </c>
      <c r="H32" s="41">
        <f>SUMIF(نهایی!$1:$1,F32,نهایی!$2:$2)</f>
        <v>0</v>
      </c>
      <c r="I32" s="46">
        <v>3</v>
      </c>
      <c r="K32" s="31" t="s">
        <v>181</v>
      </c>
      <c r="L32" s="32">
        <v>646.29999999999995</v>
      </c>
      <c r="M32" s="53"/>
      <c r="N32" s="33">
        <v>6</v>
      </c>
    </row>
    <row r="33" spans="6:14" ht="18" x14ac:dyDescent="0.45">
      <c r="F33" s="31" t="s">
        <v>164</v>
      </c>
      <c r="G33" s="32">
        <f>SUMIF(نهایی!$1:$1,F33,نهایی!$3:$3)</f>
        <v>0</v>
      </c>
      <c r="H33" s="53">
        <f>SUMIF(نهایی!$1:$1,F33,نهایی!$2:$2)</f>
        <v>0</v>
      </c>
      <c r="I33" s="33">
        <v>1</v>
      </c>
      <c r="K33" s="31" t="s">
        <v>182</v>
      </c>
      <c r="L33" s="32">
        <v>115.4</v>
      </c>
      <c r="M33" s="41"/>
      <c r="N33" s="46">
        <v>1</v>
      </c>
    </row>
    <row r="34" spans="6:14" ht="18" x14ac:dyDescent="0.45">
      <c r="F34" s="31" t="s">
        <v>165</v>
      </c>
      <c r="G34" s="32">
        <f>SUMIF(نهایی!$1:$1,F34,نهایی!$3:$3)</f>
        <v>0</v>
      </c>
      <c r="H34" s="53">
        <f>SUMIF(نهایی!$1:$1,F34,نهایی!$2:$2)</f>
        <v>0</v>
      </c>
      <c r="I34" s="33">
        <v>1</v>
      </c>
      <c r="K34" s="31" t="s">
        <v>183</v>
      </c>
      <c r="L34" s="32">
        <v>260</v>
      </c>
      <c r="M34" s="53"/>
      <c r="N34" s="33">
        <v>1</v>
      </c>
    </row>
    <row r="35" spans="6:14" ht="18" x14ac:dyDescent="0.45">
      <c r="F35" s="31" t="s">
        <v>144</v>
      </c>
      <c r="G35" s="32">
        <f>SUMIF(نهایی!$1:$1,F35,نهایی!$3:$3)</f>
        <v>0</v>
      </c>
      <c r="H35" s="53">
        <f>SUMIF(نهایی!$1:$1,F35,نهایی!$2:$2)</f>
        <v>0</v>
      </c>
      <c r="I35" s="33">
        <v>1</v>
      </c>
      <c r="K35" s="31" t="s">
        <v>184</v>
      </c>
      <c r="L35" s="32">
        <v>57.68</v>
      </c>
      <c r="M35" s="53"/>
      <c r="N35" s="33">
        <v>1</v>
      </c>
    </row>
    <row r="36" spans="6:14" ht="18.75" thickBot="1" x14ac:dyDescent="0.5">
      <c r="F36" s="34" t="s">
        <v>145</v>
      </c>
      <c r="G36" s="35">
        <f>SUMIF(نهایی!$1:$1,F36,نهایی!$3:$3)</f>
        <v>0</v>
      </c>
      <c r="H36" s="54">
        <f>SUMIF(نهایی!$1:$1,F36,نهایی!$2:$2)</f>
        <v>0</v>
      </c>
      <c r="I36" s="36">
        <v>1</v>
      </c>
      <c r="K36" s="31" t="s">
        <v>185</v>
      </c>
      <c r="L36" s="32">
        <v>385</v>
      </c>
      <c r="M36" s="53"/>
      <c r="N36" s="33">
        <v>1</v>
      </c>
    </row>
    <row r="37" spans="6:14" ht="18.75" thickBot="1" x14ac:dyDescent="0.5">
      <c r="K37" s="31" t="s">
        <v>188</v>
      </c>
      <c r="L37" s="32">
        <v>125.77</v>
      </c>
      <c r="M37" s="53"/>
      <c r="N37" s="33"/>
    </row>
    <row r="38" spans="6:14" ht="18" x14ac:dyDescent="0.45">
      <c r="F38" s="180" t="s">
        <v>272</v>
      </c>
      <c r="G38" s="181"/>
      <c r="H38" s="182"/>
      <c r="I38" s="183"/>
      <c r="K38" s="31" t="s">
        <v>189</v>
      </c>
      <c r="L38" s="32">
        <v>240</v>
      </c>
      <c r="M38" s="53"/>
      <c r="N38" s="33"/>
    </row>
    <row r="39" spans="6:14" ht="18.75" thickBot="1" x14ac:dyDescent="0.5">
      <c r="F39" s="18" t="s">
        <v>250</v>
      </c>
      <c r="G39" s="19" t="s">
        <v>200</v>
      </c>
      <c r="H39" s="51"/>
      <c r="I39" s="17" t="s">
        <v>251</v>
      </c>
      <c r="K39" s="31" t="s">
        <v>186</v>
      </c>
      <c r="L39" s="32">
        <v>27.69</v>
      </c>
      <c r="M39" s="53"/>
      <c r="N39" s="33">
        <v>1</v>
      </c>
    </row>
    <row r="40" spans="6:14" ht="18.75" thickBot="1" x14ac:dyDescent="0.5">
      <c r="F40" s="28" t="s">
        <v>155</v>
      </c>
      <c r="G40" s="20">
        <f>SUMIF(نهایی!$1:$1,F40,نهایی!$3:$3)</f>
        <v>0</v>
      </c>
      <c r="H40" s="60">
        <f>SUMIF(نهایی!$1:$1,F40,نهایی!$2:$2)</f>
        <v>0</v>
      </c>
      <c r="I40" s="30">
        <v>2</v>
      </c>
      <c r="K40" s="34" t="s">
        <v>187</v>
      </c>
      <c r="L40" s="35">
        <v>21</v>
      </c>
      <c r="M40" s="54"/>
      <c r="N40" s="36">
        <v>1</v>
      </c>
    </row>
    <row r="41" spans="6:14" ht="18.75" thickBot="1" x14ac:dyDescent="0.5">
      <c r="F41" s="31" t="s">
        <v>156</v>
      </c>
      <c r="G41" s="32">
        <f>SUMIF(نهایی!$1:$1,F41,نهایی!$3:$3)</f>
        <v>0</v>
      </c>
      <c r="H41" s="53">
        <f>SUMIF(نهایی!$1:$1,F41,نهایی!$2:$2)</f>
        <v>0</v>
      </c>
      <c r="I41" s="33">
        <v>2</v>
      </c>
    </row>
    <row r="42" spans="6:14" ht="18" x14ac:dyDescent="0.45">
      <c r="F42" s="31" t="s">
        <v>157</v>
      </c>
      <c r="G42" s="32">
        <f>SUMIF(نهایی!$1:$1,F42,نهایی!$3:$3)</f>
        <v>0</v>
      </c>
      <c r="H42" s="41">
        <f>SUMIF(نهایی!$1:$1,F42,نهایی!$2:$2)</f>
        <v>0</v>
      </c>
      <c r="I42" s="46">
        <v>3</v>
      </c>
      <c r="K42" s="180" t="s">
        <v>280</v>
      </c>
      <c r="L42" s="181"/>
      <c r="M42" s="182"/>
      <c r="N42" s="183"/>
    </row>
    <row r="43" spans="6:14" ht="18.75" thickBot="1" x14ac:dyDescent="0.5">
      <c r="F43" s="31" t="s">
        <v>158</v>
      </c>
      <c r="G43" s="32">
        <f>SUMIF(نهایی!$1:$1,F43,نهایی!$3:$3)</f>
        <v>0</v>
      </c>
      <c r="H43" s="53">
        <f>SUMIF(نهایی!$1:$1,F43,نهایی!$2:$2)</f>
        <v>0</v>
      </c>
      <c r="I43" s="33">
        <v>1</v>
      </c>
      <c r="K43" s="18" t="s">
        <v>250</v>
      </c>
      <c r="L43" s="19" t="s">
        <v>200</v>
      </c>
      <c r="M43" s="51"/>
      <c r="N43" s="17" t="s">
        <v>251</v>
      </c>
    </row>
    <row r="44" spans="6:14" ht="18" x14ac:dyDescent="0.45">
      <c r="F44" s="31" t="s">
        <v>159</v>
      </c>
      <c r="G44" s="32">
        <f>SUMIF(نهایی!$1:$1,F44,نهایی!$3:$3)</f>
        <v>0</v>
      </c>
      <c r="H44" s="53">
        <f>SUMIF(نهایی!$1:$1,F44,نهایی!$2:$2)</f>
        <v>0</v>
      </c>
      <c r="I44" s="33">
        <v>1</v>
      </c>
      <c r="K44" s="28" t="s">
        <v>180</v>
      </c>
      <c r="L44" s="29">
        <v>408.61</v>
      </c>
      <c r="M44" s="52"/>
      <c r="N44" s="30">
        <v>2</v>
      </c>
    </row>
    <row r="45" spans="6:14" ht="18" x14ac:dyDescent="0.45">
      <c r="F45" s="31" t="s">
        <v>160</v>
      </c>
      <c r="G45" s="32">
        <f>SUMIF(نهایی!$1:$1,F45,نهایی!$3:$3)</f>
        <v>0</v>
      </c>
      <c r="H45" s="53">
        <f>SUMIF(نهایی!$1:$1,F45,نهایی!$2:$2)</f>
        <v>0</v>
      </c>
      <c r="I45" s="33">
        <v>1</v>
      </c>
      <c r="K45" s="31" t="s">
        <v>181</v>
      </c>
      <c r="L45" s="32">
        <v>646.29999999999995</v>
      </c>
      <c r="M45" s="53"/>
      <c r="N45" s="33">
        <v>2</v>
      </c>
    </row>
    <row r="46" spans="6:14" ht="18" x14ac:dyDescent="0.45">
      <c r="F46" s="31" t="s">
        <v>144</v>
      </c>
      <c r="G46" s="32">
        <f>SUMIF(نهایی!$1:$1,F46,نهایی!$3:$3)</f>
        <v>0</v>
      </c>
      <c r="H46" s="53">
        <f>SUMIF(نهایی!$1:$1,F46,نهایی!$2:$2)</f>
        <v>0</v>
      </c>
      <c r="I46" s="33">
        <v>1</v>
      </c>
      <c r="K46" s="31" t="s">
        <v>182</v>
      </c>
      <c r="L46" s="32">
        <v>115.4</v>
      </c>
      <c r="M46" s="41"/>
      <c r="N46" s="46">
        <v>1</v>
      </c>
    </row>
    <row r="47" spans="6:14" ht="18.75" thickBot="1" x14ac:dyDescent="0.5">
      <c r="F47" s="34" t="s">
        <v>145</v>
      </c>
      <c r="G47" s="35">
        <f>SUMIF(نهایی!$1:$1,F47,نهایی!$3:$3)</f>
        <v>0</v>
      </c>
      <c r="H47" s="54">
        <f>SUMIF(نهایی!$1:$1,F47,نهایی!$2:$2)</f>
        <v>0</v>
      </c>
      <c r="I47" s="36">
        <v>1</v>
      </c>
      <c r="K47" s="31" t="s">
        <v>183</v>
      </c>
      <c r="L47" s="32">
        <v>260</v>
      </c>
      <c r="M47" s="53"/>
      <c r="N47" s="33"/>
    </row>
    <row r="48" spans="6:14" ht="18.75" thickBot="1" x14ac:dyDescent="0.5">
      <c r="K48" s="31" t="s">
        <v>184</v>
      </c>
      <c r="L48" s="32">
        <v>57.68</v>
      </c>
      <c r="M48" s="53"/>
      <c r="N48" s="33"/>
    </row>
    <row r="49" spans="6:14" ht="18" x14ac:dyDescent="0.45">
      <c r="F49" s="180" t="s">
        <v>274</v>
      </c>
      <c r="G49" s="181"/>
      <c r="H49" s="182"/>
      <c r="I49" s="183"/>
      <c r="K49" s="31" t="s">
        <v>185</v>
      </c>
      <c r="L49" s="32">
        <v>385</v>
      </c>
      <c r="M49" s="53"/>
      <c r="N49" s="33">
        <v>1</v>
      </c>
    </row>
    <row r="50" spans="6:14" ht="18.75" thickBot="1" x14ac:dyDescent="0.5">
      <c r="F50" s="18" t="s">
        <v>250</v>
      </c>
      <c r="G50" s="19" t="s">
        <v>200</v>
      </c>
      <c r="H50" s="51"/>
      <c r="I50" s="17" t="s">
        <v>251</v>
      </c>
      <c r="K50" s="31" t="s">
        <v>188</v>
      </c>
      <c r="L50" s="32">
        <v>125.77</v>
      </c>
      <c r="M50" s="53"/>
      <c r="N50" s="33"/>
    </row>
    <row r="51" spans="6:14" ht="18" x14ac:dyDescent="0.45">
      <c r="F51" s="28" t="s">
        <v>155</v>
      </c>
      <c r="G51" s="20">
        <f>SUMIF(نهایی!$1:$1,F51,نهایی!$3:$3)</f>
        <v>0</v>
      </c>
      <c r="H51" s="60">
        <f>SUMIF(نهایی!$1:$1,F51,نهایی!$2:$2)</f>
        <v>0</v>
      </c>
      <c r="I51" s="30">
        <v>2</v>
      </c>
      <c r="K51" s="31" t="s">
        <v>189</v>
      </c>
      <c r="L51" s="32">
        <v>240</v>
      </c>
      <c r="M51" s="53"/>
      <c r="N51" s="33"/>
    </row>
    <row r="52" spans="6:14" ht="18" x14ac:dyDescent="0.45">
      <c r="F52" s="31" t="s">
        <v>156</v>
      </c>
      <c r="G52" s="32">
        <f>SUMIF(نهایی!$1:$1,F52,نهایی!$3:$3)</f>
        <v>0</v>
      </c>
      <c r="H52" s="53">
        <f>SUMIF(نهایی!$1:$1,F52,نهایی!$2:$2)</f>
        <v>0</v>
      </c>
      <c r="I52" s="33">
        <v>2</v>
      </c>
      <c r="K52" s="31" t="s">
        <v>186</v>
      </c>
      <c r="L52" s="32">
        <v>27.69</v>
      </c>
      <c r="M52" s="53"/>
      <c r="N52" s="33">
        <v>1</v>
      </c>
    </row>
    <row r="53" spans="6:14" ht="18.75" thickBot="1" x14ac:dyDescent="0.5">
      <c r="F53" s="31" t="s">
        <v>157</v>
      </c>
      <c r="G53" s="32">
        <f>SUMIF(نهایی!$1:$1,F53,نهایی!$3:$3)</f>
        <v>0</v>
      </c>
      <c r="H53" s="41">
        <f>SUMIF(نهایی!$1:$1,F53,نهایی!$2:$2)</f>
        <v>0</v>
      </c>
      <c r="I53" s="46">
        <v>4</v>
      </c>
      <c r="K53" s="34" t="s">
        <v>187</v>
      </c>
      <c r="L53" s="35">
        <v>28.8</v>
      </c>
      <c r="M53" s="54"/>
      <c r="N53" s="36">
        <v>1</v>
      </c>
    </row>
    <row r="54" spans="6:14" ht="18.75" thickBot="1" x14ac:dyDescent="0.5">
      <c r="F54" s="31" t="s">
        <v>158</v>
      </c>
      <c r="G54" s="32">
        <f>SUMIF(نهایی!$1:$1,F54,نهایی!$3:$3)</f>
        <v>0</v>
      </c>
      <c r="H54" s="53">
        <f>SUMIF(نهایی!$1:$1,F54,نهایی!$2:$2)</f>
        <v>0</v>
      </c>
      <c r="I54" s="33">
        <v>2</v>
      </c>
    </row>
    <row r="55" spans="6:14" ht="18" x14ac:dyDescent="0.45">
      <c r="F55" s="31" t="s">
        <v>159</v>
      </c>
      <c r="G55" s="32">
        <f>SUMIF(نهایی!$1:$1,F55,نهایی!$3:$3)</f>
        <v>0</v>
      </c>
      <c r="H55" s="53">
        <f>SUMIF(نهایی!$1:$1,F55,نهایی!$2:$2)</f>
        <v>0</v>
      </c>
      <c r="I55" s="33">
        <v>1</v>
      </c>
      <c r="K55" s="37" t="s">
        <v>281</v>
      </c>
      <c r="L55" s="38"/>
      <c r="M55" s="61"/>
      <c r="N55" s="39"/>
    </row>
    <row r="56" spans="6:14" ht="18.75" thickBot="1" x14ac:dyDescent="0.5">
      <c r="F56" s="34" t="s">
        <v>160</v>
      </c>
      <c r="G56" s="35">
        <f>SUMIF(نهایی!$1:$1,F56,نهایی!$3:$3)</f>
        <v>0</v>
      </c>
      <c r="H56" s="54">
        <f>SUMIF(نهایی!$1:$1,F56,نهایی!$2:$2)</f>
        <v>0</v>
      </c>
      <c r="I56" s="36">
        <v>1</v>
      </c>
      <c r="K56" s="18" t="s">
        <v>250</v>
      </c>
      <c r="L56" s="19" t="s">
        <v>200</v>
      </c>
      <c r="M56" s="51"/>
      <c r="N56" s="17" t="s">
        <v>251</v>
      </c>
    </row>
    <row r="57" spans="6:14" ht="18" x14ac:dyDescent="0.45">
      <c r="K57" s="28" t="s">
        <v>180</v>
      </c>
      <c r="L57" s="29">
        <v>408.61</v>
      </c>
      <c r="M57" s="52"/>
      <c r="N57" s="30">
        <v>2</v>
      </c>
    </row>
    <row r="58" spans="6:14" ht="18" x14ac:dyDescent="0.45">
      <c r="K58" s="31" t="s">
        <v>181</v>
      </c>
      <c r="L58" s="32">
        <v>646.29999999999995</v>
      </c>
      <c r="M58" s="53"/>
      <c r="N58" s="33">
        <v>2</v>
      </c>
    </row>
    <row r="59" spans="6:14" ht="18" x14ac:dyDescent="0.45">
      <c r="K59" s="31" t="s">
        <v>182</v>
      </c>
      <c r="L59" s="32">
        <v>115.4</v>
      </c>
      <c r="M59" s="41"/>
      <c r="N59" s="46"/>
    </row>
    <row r="60" spans="6:14" ht="18" x14ac:dyDescent="0.45">
      <c r="K60" s="31" t="s">
        <v>183</v>
      </c>
      <c r="L60" s="32">
        <v>260</v>
      </c>
      <c r="M60" s="53"/>
      <c r="N60" s="33"/>
    </row>
    <row r="61" spans="6:14" ht="18" x14ac:dyDescent="0.45">
      <c r="K61" s="31" t="s">
        <v>184</v>
      </c>
      <c r="L61" s="32">
        <v>57.68</v>
      </c>
      <c r="M61" s="53"/>
      <c r="N61" s="33"/>
    </row>
    <row r="62" spans="6:14" ht="18" x14ac:dyDescent="0.45">
      <c r="K62" s="31" t="s">
        <v>185</v>
      </c>
      <c r="L62" s="32">
        <v>385</v>
      </c>
      <c r="M62" s="53"/>
      <c r="N62" s="33">
        <v>1</v>
      </c>
    </row>
    <row r="63" spans="6:14" ht="18" x14ac:dyDescent="0.45">
      <c r="K63" s="31" t="s">
        <v>188</v>
      </c>
      <c r="L63" s="32">
        <v>125.77</v>
      </c>
      <c r="M63" s="53"/>
      <c r="N63" s="33"/>
    </row>
    <row r="64" spans="6:14" ht="18" x14ac:dyDescent="0.45">
      <c r="K64" s="31" t="s">
        <v>189</v>
      </c>
      <c r="L64" s="32">
        <v>240</v>
      </c>
      <c r="M64" s="53"/>
      <c r="N64" s="33"/>
    </row>
    <row r="65" spans="11:14" ht="18" x14ac:dyDescent="0.45">
      <c r="K65" s="31" t="s">
        <v>186</v>
      </c>
      <c r="L65" s="32">
        <v>27.69</v>
      </c>
      <c r="M65" s="53"/>
      <c r="N65" s="33">
        <v>1</v>
      </c>
    </row>
    <row r="66" spans="11:14" ht="18.75" thickBot="1" x14ac:dyDescent="0.5">
      <c r="K66" s="34" t="s">
        <v>187</v>
      </c>
      <c r="L66" s="35">
        <v>28.8</v>
      </c>
      <c r="M66" s="54"/>
      <c r="N66" s="36">
        <v>1</v>
      </c>
    </row>
  </sheetData>
  <mergeCells count="12">
    <mergeCell ref="K1:N1"/>
    <mergeCell ref="K15:N15"/>
    <mergeCell ref="K29:N29"/>
    <mergeCell ref="K42:N42"/>
    <mergeCell ref="F28:I28"/>
    <mergeCell ref="F38:I38"/>
    <mergeCell ref="F49:I49"/>
    <mergeCell ref="A1:D1"/>
    <mergeCell ref="A13:D13"/>
    <mergeCell ref="F1:I1"/>
    <mergeCell ref="F10:I10"/>
    <mergeCell ref="F18:I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3</vt:i4>
      </vt:variant>
    </vt:vector>
  </HeadingPairs>
  <TitlesOfParts>
    <vt:vector size="12" baseType="lpstr">
      <vt:lpstr>نهایی</vt:lpstr>
      <vt:lpstr>خلاصه عملکرد</vt:lpstr>
      <vt:lpstr>کارکرد اداری</vt:lpstr>
      <vt:lpstr>اداری 1</vt:lpstr>
      <vt:lpstr>کلید</vt:lpstr>
      <vt:lpstr>قطع کن</vt:lpstr>
      <vt:lpstr>کنتور هوشمند</vt:lpstr>
      <vt:lpstr>کنتور</vt:lpstr>
      <vt:lpstr>پایه کنتور</vt:lpstr>
      <vt:lpstr>'اداری 1'!Print_Area</vt:lpstr>
      <vt:lpstr>'خلاصه عملکرد'!Print_Area</vt:lpstr>
      <vt:lpstr>'کارکرد اداری'!Print_Area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Fahimeh Khoshsaligheh</dc:creator>
  <cp:lastModifiedBy>mojtaba nourafshan</cp:lastModifiedBy>
  <cp:lastPrinted>2024-09-28T10:57:36Z</cp:lastPrinted>
  <dcterms:created xsi:type="dcterms:W3CDTF">2016-10-26T10:28:18Z</dcterms:created>
  <dcterms:modified xsi:type="dcterms:W3CDTF">2025-02-07T15:10:59Z</dcterms:modified>
</cp:coreProperties>
</file>